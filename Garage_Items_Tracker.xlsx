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FF595959"/>
    </font>
    <font>
      <b val="1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165" fontId="0" fillId="4" borderId="0" pivotButton="0" quotePrefix="0" xfId="0"/>
    <xf numFmtId="0" fontId="3" fillId="3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FFFCE4D6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18" customWidth="1" min="4" max="4"/>
    <col width="14" customWidth="1" min="5" max="5"/>
    <col width="12" customWidth="1" min="6" max="6"/>
    <col width="14" customWidth="1" min="7" max="7"/>
    <col width="13" customWidth="1" min="8" max="8"/>
    <col width="12" customWidth="1" min="9" max="9"/>
    <col width="22" customWidth="1" min="10" max="10"/>
    <col width="13" customWidth="1" min="11" max="11"/>
    <col width="14" customWidth="1" min="12" max="12"/>
    <col width="12" customWidth="1" min="13" max="13"/>
    <col width="13" customWidth="1" min="14" max="14"/>
    <col width="60" customWidth="1" min="15" max="15"/>
  </cols>
  <sheetData>
    <row r="1">
      <c r="A1" s="1" t="inlineStr">
        <is>
          <t>Garage Cleanout – Keep / Sell / Scrap</t>
        </is>
      </c>
    </row>
    <row r="2">
      <c r="A2" s="2" t="inlineStr">
        <is>
          <t>Fill in the yellow-header columns. Gray columns calculate automatically. Check eBay SOLD listings for value.</t>
        </is>
      </c>
    </row>
    <row r="3">
      <c r="A3" s="3" t="inlineStr">
        <is>
          <t>Date Added</t>
        </is>
      </c>
      <c r="B3" s="3" t="inlineStr">
        <is>
          <t>Item</t>
        </is>
      </c>
      <c r="C3" s="3" t="inlineStr">
        <is>
          <t>Brand / Maker</t>
        </is>
      </c>
      <c r="D3" s="3" t="inlineStr">
        <is>
          <t>Part / Model #</t>
        </is>
      </c>
      <c r="E3" s="3" t="inlineStr">
        <is>
          <t>Condition</t>
        </is>
      </c>
      <c r="F3" s="3" t="inlineStr">
        <is>
          <t>Decision</t>
        </is>
      </c>
      <c r="G3" s="3" t="inlineStr">
        <is>
          <t>Platform</t>
        </is>
      </c>
      <c r="H3" s="3" t="inlineStr">
        <is>
          <t>Est. Value ($)</t>
        </is>
      </c>
      <c r="I3" s="3" t="inlineStr">
        <is>
          <t>Weight (lbs)</t>
        </is>
      </c>
      <c r="J3" s="3" t="inlineStr">
        <is>
          <t>Scrap Category</t>
        </is>
      </c>
      <c r="K3" s="3" t="inlineStr">
        <is>
          <t>Status</t>
        </is>
      </c>
      <c r="L3" s="3" t="inlineStr">
        <is>
          <t>Sold / Scrap Price ($)</t>
        </is>
      </c>
      <c r="M3" s="3" t="inlineStr">
        <is>
          <t>Date Sold</t>
        </is>
      </c>
      <c r="N3" s="4" t="inlineStr">
        <is>
          <t>Net vs Est. ($)</t>
        </is>
      </c>
      <c r="O3" s="3" t="inlineStr">
        <is>
          <t>Notes</t>
        </is>
      </c>
    </row>
    <row r="4">
      <c r="A4" s="5" t="n">
        <v>46316</v>
      </c>
      <c r="B4" s="6" t="inlineStr">
        <is>
          <t>Radiator core (fins rotted) – frame &amp; brackets removed for clean grade</t>
        </is>
      </c>
      <c r="C4" t="inlineStr">
        <is>
          <t>Modine Mfg Co (Racine, WI)</t>
        </is>
      </c>
      <c r="D4" t="inlineStr">
        <is>
          <t>1A-5573L11</t>
        </is>
      </c>
      <c r="E4" t="inlineStr">
        <is>
          <t>Parts only</t>
        </is>
      </c>
      <c r="F4" t="inlineStr">
        <is>
          <t>Scrap</t>
        </is>
      </c>
      <c r="G4" t="inlineStr">
        <is>
          <t>B&amp;W Scrap</t>
        </is>
      </c>
      <c r="H4" s="7" t="n"/>
      <c r="J4" t="inlineStr">
        <is>
          <t>Copper/brass radiator (clean)</t>
        </is>
      </c>
      <c r="K4" t="inlineStr">
        <is>
          <t>To list</t>
        </is>
      </c>
      <c r="L4" s="7" t="n"/>
      <c r="M4" s="5" t="n"/>
      <c r="N4" s="8">
        <f>IF(L4="","",L4-H4)</f>
        <v/>
      </c>
      <c r="O4" s="6" t="inlineStr">
        <is>
          <t>Possibly ex-John Deere; no match online for tag #. Check tanks for JD # (AA/AB/AF…) before cutting. Drain coolant, remove steel for clean grade.</t>
        </is>
      </c>
    </row>
    <row r="5">
      <c r="A5" s="5" t="n">
        <v>46316</v>
      </c>
      <c r="B5" s="6" t="inlineStr">
        <is>
          <t>Brass radiator ID tag (pulled from Modine radiator above)</t>
        </is>
      </c>
      <c r="C5" t="inlineStr">
        <is>
          <t>Modine Mfg Co (Racine, WI)</t>
        </is>
      </c>
      <c r="D5" t="inlineStr">
        <is>
          <t>1A-5573L11</t>
        </is>
      </c>
      <c r="E5" t="inlineStr">
        <is>
          <t>Works</t>
        </is>
      </c>
      <c r="F5" t="inlineStr">
        <is>
          <t>eBay</t>
        </is>
      </c>
      <c r="G5" t="inlineStr">
        <is>
          <t>eBay</t>
        </is>
      </c>
      <c r="H5" s="7" t="n">
        <v>15</v>
      </c>
      <c r="K5" t="inlineStr">
        <is>
          <t>To list</t>
        </is>
      </c>
      <c r="L5" s="7" t="n"/>
      <c r="M5" s="5" t="n"/>
      <c r="N5" s="8">
        <f>IF(L5="","",L5-H5)</f>
        <v/>
      </c>
      <c r="O5" s="6" t="inlineStr">
        <is>
          <t>List as 'Vintage Modine Mfg Co Racine Wis radiator tag'. Est $10–20; ships cheap in envelope.</t>
        </is>
      </c>
    </row>
    <row r="6">
      <c r="A6" s="5" t="n">
        <v>46316</v>
      </c>
      <c r="B6" s="6" t="inlineStr">
        <is>
          <t>Green sheet-metal box (possible ballast/weight box or battery box) – floor rusted through at one end</t>
        </is>
      </c>
      <c r="C6" t="inlineStr">
        <is>
          <t>John Deere (paint color; not confirmed)</t>
        </is>
      </c>
      <c r="E6" t="inlineStr">
        <is>
          <t>Parts only</t>
        </is>
      </c>
      <c r="F6" t="inlineStr">
        <is>
          <t>Marketplace</t>
        </is>
      </c>
      <c r="G6" t="inlineStr">
        <is>
          <t>FB Marketplace</t>
        </is>
      </c>
      <c r="H6" s="7" t="n">
        <v>30</v>
      </c>
      <c r="J6" t="inlineStr">
        <is>
          <t>Light iron / shred (if unsold)</t>
        </is>
      </c>
      <c r="K6" t="inlineStr">
        <is>
          <t>To list</t>
        </is>
      </c>
      <c r="L6" s="7" t="n"/>
      <c r="M6" s="5" t="n"/>
      <c r="N6" s="8">
        <f>IF(L6="","",L6-H6)</f>
        <v/>
      </c>
      <c r="O6" s="6" t="inlineStr">
        <is>
          <t>ID unconfirmed: check for JD part # stamped inside/under, mounting brackets. Sell as JD box for restoration or rustic planter, $20–40. Scrap value only ~$1–3 (light iron). If no bites in 2–3 weeks, scrap with other steel.</t>
        </is>
      </c>
    </row>
    <row r="7">
      <c r="A7" s="5" t="n"/>
      <c r="H7" s="7" t="n"/>
      <c r="L7" s="7" t="n"/>
      <c r="M7" s="5" t="n"/>
      <c r="N7" s="8">
        <f>IF(L7="","",L7-H7)</f>
        <v/>
      </c>
    </row>
    <row r="8">
      <c r="A8" s="5" t="n"/>
      <c r="H8" s="7" t="n"/>
      <c r="L8" s="7" t="n"/>
      <c r="M8" s="5" t="n"/>
      <c r="N8" s="8">
        <f>IF(L8="","",L8-H8)</f>
        <v/>
      </c>
    </row>
    <row r="9">
      <c r="A9" s="5" t="n"/>
      <c r="H9" s="7" t="n"/>
      <c r="L9" s="7" t="n"/>
      <c r="M9" s="5" t="n"/>
      <c r="N9" s="8">
        <f>IF(L9="","",L9-H9)</f>
        <v/>
      </c>
    </row>
    <row r="10">
      <c r="A10" s="5" t="n"/>
      <c r="H10" s="7" t="n"/>
      <c r="L10" s="7" t="n"/>
      <c r="M10" s="5" t="n"/>
      <c r="N10" s="8">
        <f>IF(L10="","",L10-H10)</f>
        <v/>
      </c>
    </row>
    <row r="11">
      <c r="A11" s="5" t="n"/>
      <c r="H11" s="7" t="n"/>
      <c r="L11" s="7" t="n"/>
      <c r="M11" s="5" t="n"/>
      <c r="N11" s="8">
        <f>IF(L11="","",L11-H11)</f>
        <v/>
      </c>
    </row>
    <row r="12">
      <c r="A12" s="5" t="n"/>
      <c r="H12" s="7" t="n"/>
      <c r="L12" s="7" t="n"/>
      <c r="M12" s="5" t="n"/>
      <c r="N12" s="8">
        <f>IF(L12="","",L12-H12)</f>
        <v/>
      </c>
    </row>
    <row r="13">
      <c r="A13" s="5" t="n"/>
      <c r="H13" s="7" t="n"/>
      <c r="L13" s="7" t="n"/>
      <c r="M13" s="5" t="n"/>
      <c r="N13" s="8">
        <f>IF(L13="","",L13-H13)</f>
        <v/>
      </c>
    </row>
    <row r="14">
      <c r="A14" s="5" t="n"/>
      <c r="H14" s="7" t="n"/>
      <c r="L14" s="7" t="n"/>
      <c r="M14" s="5" t="n"/>
      <c r="N14" s="8">
        <f>IF(L14="","",L14-H14)</f>
        <v/>
      </c>
    </row>
    <row r="15">
      <c r="A15" s="5" t="n"/>
      <c r="H15" s="7" t="n"/>
      <c r="L15" s="7" t="n"/>
      <c r="M15" s="5" t="n"/>
      <c r="N15" s="8">
        <f>IF(L15="","",L15-H15)</f>
        <v/>
      </c>
    </row>
    <row r="16">
      <c r="A16" s="5" t="n"/>
      <c r="H16" s="7" t="n"/>
      <c r="L16" s="7" t="n"/>
      <c r="M16" s="5" t="n"/>
      <c r="N16" s="8">
        <f>IF(L16="","",L16-H16)</f>
        <v/>
      </c>
    </row>
    <row r="17">
      <c r="A17" s="5" t="n"/>
      <c r="H17" s="7" t="n"/>
      <c r="L17" s="7" t="n"/>
      <c r="M17" s="5" t="n"/>
      <c r="N17" s="8">
        <f>IF(L17="","",L17-H17)</f>
        <v/>
      </c>
    </row>
    <row r="18">
      <c r="A18" s="5" t="n"/>
      <c r="H18" s="7" t="n"/>
      <c r="L18" s="7" t="n"/>
      <c r="M18" s="5" t="n"/>
      <c r="N18" s="8">
        <f>IF(L18="","",L18-H18)</f>
        <v/>
      </c>
    </row>
    <row r="19">
      <c r="A19" s="5" t="n"/>
      <c r="H19" s="7" t="n"/>
      <c r="L19" s="7" t="n"/>
      <c r="M19" s="5" t="n"/>
      <c r="N19" s="8">
        <f>IF(L19="","",L19-H19)</f>
        <v/>
      </c>
    </row>
    <row r="20">
      <c r="A20" s="5" t="n"/>
      <c r="H20" s="7" t="n"/>
      <c r="L20" s="7" t="n"/>
      <c r="M20" s="5" t="n"/>
      <c r="N20" s="8">
        <f>IF(L20="","",L20-H20)</f>
        <v/>
      </c>
    </row>
    <row r="21">
      <c r="A21" s="5" t="n"/>
      <c r="H21" s="7" t="n"/>
      <c r="L21" s="7" t="n"/>
      <c r="M21" s="5" t="n"/>
      <c r="N21" s="8">
        <f>IF(L21="","",L21-H21)</f>
        <v/>
      </c>
    </row>
    <row r="22">
      <c r="A22" s="5" t="n"/>
      <c r="H22" s="7" t="n"/>
      <c r="L22" s="7" t="n"/>
      <c r="M22" s="5" t="n"/>
      <c r="N22" s="8">
        <f>IF(L22="","",L22-H22)</f>
        <v/>
      </c>
    </row>
    <row r="23">
      <c r="A23" s="5" t="n"/>
      <c r="H23" s="7" t="n"/>
      <c r="L23" s="7" t="n"/>
      <c r="M23" s="5" t="n"/>
      <c r="N23" s="8">
        <f>IF(L23="","",L23-H23)</f>
        <v/>
      </c>
    </row>
    <row r="24">
      <c r="A24" s="5" t="n"/>
      <c r="H24" s="7" t="n"/>
      <c r="L24" s="7" t="n"/>
      <c r="M24" s="5" t="n"/>
      <c r="N24" s="8">
        <f>IF(L24="","",L24-H24)</f>
        <v/>
      </c>
    </row>
    <row r="25">
      <c r="A25" s="5" t="n"/>
      <c r="H25" s="7" t="n"/>
      <c r="L25" s="7" t="n"/>
      <c r="M25" s="5" t="n"/>
      <c r="N25" s="8">
        <f>IF(L25="","",L25-H25)</f>
        <v/>
      </c>
    </row>
    <row r="26">
      <c r="A26" s="5" t="n"/>
      <c r="H26" s="7" t="n"/>
      <c r="L26" s="7" t="n"/>
      <c r="M26" s="5" t="n"/>
      <c r="N26" s="8">
        <f>IF(L26="","",L26-H26)</f>
        <v/>
      </c>
    </row>
    <row r="27">
      <c r="A27" s="5" t="n"/>
      <c r="H27" s="7" t="n"/>
      <c r="L27" s="7" t="n"/>
      <c r="M27" s="5" t="n"/>
      <c r="N27" s="8">
        <f>IF(L27="","",L27-H27)</f>
        <v/>
      </c>
    </row>
    <row r="28">
      <c r="A28" s="5" t="n"/>
      <c r="H28" s="7" t="n"/>
      <c r="L28" s="7" t="n"/>
      <c r="M28" s="5" t="n"/>
      <c r="N28" s="8">
        <f>IF(L28="","",L28-H28)</f>
        <v/>
      </c>
    </row>
    <row r="29">
      <c r="A29" s="5" t="n"/>
      <c r="H29" s="7" t="n"/>
      <c r="L29" s="7" t="n"/>
      <c r="M29" s="5" t="n"/>
      <c r="N29" s="8">
        <f>IF(L29="","",L29-H29)</f>
        <v/>
      </c>
    </row>
    <row r="30">
      <c r="A30" s="5" t="n"/>
      <c r="H30" s="7" t="n"/>
      <c r="L30" s="7" t="n"/>
      <c r="M30" s="5" t="n"/>
      <c r="N30" s="8">
        <f>IF(L30="","",L30-H30)</f>
        <v/>
      </c>
    </row>
    <row r="31">
      <c r="A31" s="5" t="n"/>
      <c r="H31" s="7" t="n"/>
      <c r="L31" s="7" t="n"/>
      <c r="M31" s="5" t="n"/>
      <c r="N31" s="8">
        <f>IF(L31="","",L31-H31)</f>
        <v/>
      </c>
    </row>
    <row r="32">
      <c r="A32" s="5" t="n"/>
      <c r="H32" s="7" t="n"/>
      <c r="L32" s="7" t="n"/>
      <c r="M32" s="5" t="n"/>
      <c r="N32" s="8">
        <f>IF(L32="","",L32-H32)</f>
        <v/>
      </c>
    </row>
    <row r="33">
      <c r="A33" s="5" t="n"/>
      <c r="H33" s="7" t="n"/>
      <c r="L33" s="7" t="n"/>
      <c r="M33" s="5" t="n"/>
      <c r="N33" s="8">
        <f>IF(L33="","",L33-H33)</f>
        <v/>
      </c>
    </row>
    <row r="34">
      <c r="A34" s="5" t="n"/>
      <c r="H34" s="7" t="n"/>
      <c r="L34" s="7" t="n"/>
      <c r="M34" s="5" t="n"/>
      <c r="N34" s="8">
        <f>IF(L34="","",L34-H34)</f>
        <v/>
      </c>
    </row>
    <row r="35">
      <c r="A35" s="5" t="n"/>
      <c r="H35" s="7" t="n"/>
      <c r="L35" s="7" t="n"/>
      <c r="M35" s="5" t="n"/>
      <c r="N35" s="8">
        <f>IF(L35="","",L35-H35)</f>
        <v/>
      </c>
    </row>
    <row r="36">
      <c r="A36" s="5" t="n"/>
      <c r="H36" s="7" t="n"/>
      <c r="L36" s="7" t="n"/>
      <c r="M36" s="5" t="n"/>
      <c r="N36" s="8">
        <f>IF(L36="","",L36-H36)</f>
        <v/>
      </c>
    </row>
    <row r="37">
      <c r="A37" s="5" t="n"/>
      <c r="H37" s="7" t="n"/>
      <c r="L37" s="7" t="n"/>
      <c r="M37" s="5" t="n"/>
      <c r="N37" s="8">
        <f>IF(L37="","",L37-H37)</f>
        <v/>
      </c>
    </row>
    <row r="38">
      <c r="A38" s="5" t="n"/>
      <c r="H38" s="7" t="n"/>
      <c r="L38" s="7" t="n"/>
      <c r="M38" s="5" t="n"/>
      <c r="N38" s="8">
        <f>IF(L38="","",L38-H38)</f>
        <v/>
      </c>
    </row>
    <row r="39">
      <c r="A39" s="5" t="n"/>
      <c r="H39" s="7" t="n"/>
      <c r="L39" s="7" t="n"/>
      <c r="M39" s="5" t="n"/>
      <c r="N39" s="8">
        <f>IF(L39="","",L39-H39)</f>
        <v/>
      </c>
    </row>
    <row r="40">
      <c r="A40" s="5" t="n"/>
      <c r="H40" s="7" t="n"/>
      <c r="L40" s="7" t="n"/>
      <c r="M40" s="5" t="n"/>
      <c r="N40" s="8">
        <f>IF(L40="","",L40-H40)</f>
        <v/>
      </c>
    </row>
    <row r="41">
      <c r="A41" s="5" t="n"/>
      <c r="H41" s="7" t="n"/>
      <c r="L41" s="7" t="n"/>
      <c r="M41" s="5" t="n"/>
      <c r="N41" s="8">
        <f>IF(L41="","",L41-H41)</f>
        <v/>
      </c>
    </row>
    <row r="42">
      <c r="A42" s="5" t="n"/>
      <c r="H42" s="7" t="n"/>
      <c r="L42" s="7" t="n"/>
      <c r="M42" s="5" t="n"/>
      <c r="N42" s="8">
        <f>IF(L42="","",L42-H42)</f>
        <v/>
      </c>
    </row>
    <row r="43">
      <c r="A43" s="5" t="n"/>
      <c r="H43" s="7" t="n"/>
      <c r="L43" s="7" t="n"/>
      <c r="M43" s="5" t="n"/>
      <c r="N43" s="8">
        <f>IF(L43="","",L43-H43)</f>
        <v/>
      </c>
    </row>
    <row r="44">
      <c r="A44" s="5" t="n"/>
      <c r="H44" s="7" t="n"/>
      <c r="L44" s="7" t="n"/>
      <c r="M44" s="5" t="n"/>
      <c r="N44" s="8">
        <f>IF(L44="","",L44-H44)</f>
        <v/>
      </c>
    </row>
    <row r="45">
      <c r="A45" s="5" t="n"/>
      <c r="H45" s="7" t="n"/>
      <c r="L45" s="7" t="n"/>
      <c r="M45" s="5" t="n"/>
      <c r="N45" s="8">
        <f>IF(L45="","",L45-H45)</f>
        <v/>
      </c>
    </row>
    <row r="46">
      <c r="A46" s="5" t="n"/>
      <c r="H46" s="7" t="n"/>
      <c r="L46" s="7" t="n"/>
      <c r="M46" s="5" t="n"/>
      <c r="N46" s="8">
        <f>IF(L46="","",L46-H46)</f>
        <v/>
      </c>
    </row>
    <row r="47">
      <c r="A47" s="5" t="n"/>
      <c r="H47" s="7" t="n"/>
      <c r="L47" s="7" t="n"/>
      <c r="M47" s="5" t="n"/>
      <c r="N47" s="8">
        <f>IF(L47="","",L47-H47)</f>
        <v/>
      </c>
    </row>
    <row r="48">
      <c r="A48" s="5" t="n"/>
      <c r="H48" s="7" t="n"/>
      <c r="L48" s="7" t="n"/>
      <c r="M48" s="5" t="n"/>
      <c r="N48" s="8">
        <f>IF(L48="","",L48-H48)</f>
        <v/>
      </c>
    </row>
    <row r="49">
      <c r="A49" s="5" t="n"/>
      <c r="H49" s="7" t="n"/>
      <c r="L49" s="7" t="n"/>
      <c r="M49" s="5" t="n"/>
      <c r="N49" s="8">
        <f>IF(L49="","",L49-H49)</f>
        <v/>
      </c>
    </row>
    <row r="50">
      <c r="A50" s="5" t="n"/>
      <c r="H50" s="7" t="n"/>
      <c r="L50" s="7" t="n"/>
      <c r="M50" s="5" t="n"/>
      <c r="N50" s="8">
        <f>IF(L50="","",L50-H50)</f>
        <v/>
      </c>
    </row>
    <row r="51">
      <c r="A51" s="5" t="n"/>
      <c r="H51" s="7" t="n"/>
      <c r="L51" s="7" t="n"/>
      <c r="M51" s="5" t="n"/>
      <c r="N51" s="8">
        <f>IF(L51="","",L51-H51)</f>
        <v/>
      </c>
    </row>
    <row r="52">
      <c r="A52" s="5" t="n"/>
      <c r="H52" s="7" t="n"/>
      <c r="L52" s="7" t="n"/>
      <c r="M52" s="5" t="n"/>
      <c r="N52" s="8">
        <f>IF(L52="","",L52-H52)</f>
        <v/>
      </c>
    </row>
    <row r="53">
      <c r="A53" s="5" t="n"/>
      <c r="H53" s="7" t="n"/>
      <c r="L53" s="7" t="n"/>
      <c r="M53" s="5" t="n"/>
      <c r="N53" s="8">
        <f>IF(L53="","",L53-H53)</f>
        <v/>
      </c>
    </row>
    <row r="54">
      <c r="A54" s="5" t="n"/>
      <c r="H54" s="7" t="n"/>
      <c r="L54" s="7" t="n"/>
      <c r="M54" s="5" t="n"/>
      <c r="N54" s="8">
        <f>IF(L54="","",L54-H54)</f>
        <v/>
      </c>
    </row>
    <row r="55">
      <c r="A55" s="5" t="n"/>
      <c r="H55" s="7" t="n"/>
      <c r="L55" s="7" t="n"/>
      <c r="M55" s="5" t="n"/>
      <c r="N55" s="8">
        <f>IF(L55="","",L55-H55)</f>
        <v/>
      </c>
    </row>
    <row r="56">
      <c r="A56" s="5" t="n"/>
      <c r="H56" s="7" t="n"/>
      <c r="L56" s="7" t="n"/>
      <c r="M56" s="5" t="n"/>
      <c r="N56" s="8">
        <f>IF(L56="","",L56-H56)</f>
        <v/>
      </c>
    </row>
    <row r="57">
      <c r="A57" s="5" t="n"/>
      <c r="H57" s="7" t="n"/>
      <c r="L57" s="7" t="n"/>
      <c r="M57" s="5" t="n"/>
      <c r="N57" s="8">
        <f>IF(L57="","",L57-H57)</f>
        <v/>
      </c>
    </row>
    <row r="58">
      <c r="A58" s="5" t="n"/>
      <c r="H58" s="7" t="n"/>
      <c r="L58" s="7" t="n"/>
      <c r="M58" s="5" t="n"/>
      <c r="N58" s="8">
        <f>IF(L58="","",L58-H58)</f>
        <v/>
      </c>
    </row>
    <row r="59">
      <c r="A59" s="5" t="n"/>
      <c r="H59" s="7" t="n"/>
      <c r="L59" s="7" t="n"/>
      <c r="M59" s="5" t="n"/>
      <c r="N59" s="8">
        <f>IF(L59="","",L59-H59)</f>
        <v/>
      </c>
    </row>
    <row r="60">
      <c r="A60" s="5" t="n"/>
      <c r="H60" s="7" t="n"/>
      <c r="L60" s="7" t="n"/>
      <c r="M60" s="5" t="n"/>
      <c r="N60" s="8">
        <f>IF(L60="","",L60-H60)</f>
        <v/>
      </c>
    </row>
    <row r="61">
      <c r="A61" s="5" t="n"/>
      <c r="H61" s="7" t="n"/>
      <c r="L61" s="7" t="n"/>
      <c r="M61" s="5" t="n"/>
      <c r="N61" s="8">
        <f>IF(L61="","",L61-H61)</f>
        <v/>
      </c>
    </row>
    <row r="62">
      <c r="A62" s="5" t="n"/>
      <c r="H62" s="7" t="n"/>
      <c r="L62" s="7" t="n"/>
      <c r="M62" s="5" t="n"/>
      <c r="N62" s="8">
        <f>IF(L62="","",L62-H62)</f>
        <v/>
      </c>
    </row>
    <row r="63">
      <c r="A63" s="5" t="n"/>
      <c r="H63" s="7" t="n"/>
      <c r="L63" s="7" t="n"/>
      <c r="M63" s="5" t="n"/>
      <c r="N63" s="8">
        <f>IF(L63="","",L63-H63)</f>
        <v/>
      </c>
    </row>
    <row r="64">
      <c r="A64" s="5" t="n"/>
      <c r="H64" s="7" t="n"/>
      <c r="L64" s="7" t="n"/>
      <c r="M64" s="5" t="n"/>
      <c r="N64" s="8">
        <f>IF(L64="","",L64-H64)</f>
        <v/>
      </c>
    </row>
    <row r="65">
      <c r="A65" s="5" t="n"/>
      <c r="H65" s="7" t="n"/>
      <c r="L65" s="7" t="n"/>
      <c r="M65" s="5" t="n"/>
      <c r="N65" s="8">
        <f>IF(L65="","",L65-H65)</f>
        <v/>
      </c>
    </row>
    <row r="66">
      <c r="A66" s="5" t="n"/>
      <c r="H66" s="7" t="n"/>
      <c r="L66" s="7" t="n"/>
      <c r="M66" s="5" t="n"/>
      <c r="N66" s="8">
        <f>IF(L66="","",L66-H66)</f>
        <v/>
      </c>
    </row>
    <row r="67">
      <c r="A67" s="5" t="n"/>
      <c r="H67" s="7" t="n"/>
      <c r="L67" s="7" t="n"/>
      <c r="M67" s="5" t="n"/>
      <c r="N67" s="8">
        <f>IF(L67="","",L67-H67)</f>
        <v/>
      </c>
    </row>
    <row r="68">
      <c r="A68" s="5" t="n"/>
      <c r="H68" s="7" t="n"/>
      <c r="L68" s="7" t="n"/>
      <c r="M68" s="5" t="n"/>
      <c r="N68" s="8">
        <f>IF(L68="","",L68-H68)</f>
        <v/>
      </c>
    </row>
    <row r="69">
      <c r="A69" s="5" t="n"/>
      <c r="H69" s="7" t="n"/>
      <c r="L69" s="7" t="n"/>
      <c r="M69" s="5" t="n"/>
      <c r="N69" s="8">
        <f>IF(L69="","",L69-H69)</f>
        <v/>
      </c>
    </row>
    <row r="70">
      <c r="A70" s="5" t="n"/>
      <c r="H70" s="7" t="n"/>
      <c r="L70" s="7" t="n"/>
      <c r="M70" s="5" t="n"/>
      <c r="N70" s="8">
        <f>IF(L70="","",L70-H70)</f>
        <v/>
      </c>
    </row>
    <row r="71">
      <c r="A71" s="5" t="n"/>
      <c r="H71" s="7" t="n"/>
      <c r="L71" s="7" t="n"/>
      <c r="M71" s="5" t="n"/>
      <c r="N71" s="8">
        <f>IF(L71="","",L71-H71)</f>
        <v/>
      </c>
    </row>
    <row r="72">
      <c r="A72" s="5" t="n"/>
      <c r="H72" s="7" t="n"/>
      <c r="L72" s="7" t="n"/>
      <c r="M72" s="5" t="n"/>
      <c r="N72" s="8">
        <f>IF(L72="","",L72-H72)</f>
        <v/>
      </c>
    </row>
    <row r="73">
      <c r="A73" s="5" t="n"/>
      <c r="H73" s="7" t="n"/>
      <c r="L73" s="7" t="n"/>
      <c r="M73" s="5" t="n"/>
      <c r="N73" s="8">
        <f>IF(L73="","",L73-H73)</f>
        <v/>
      </c>
    </row>
    <row r="74">
      <c r="A74" s="5" t="n"/>
      <c r="H74" s="7" t="n"/>
      <c r="L74" s="7" t="n"/>
      <c r="M74" s="5" t="n"/>
      <c r="N74" s="8">
        <f>IF(L74="","",L74-H74)</f>
        <v/>
      </c>
    </row>
    <row r="75">
      <c r="A75" s="5" t="n"/>
      <c r="H75" s="7" t="n"/>
      <c r="L75" s="7" t="n"/>
      <c r="M75" s="5" t="n"/>
      <c r="N75" s="8">
        <f>IF(L75="","",L75-H75)</f>
        <v/>
      </c>
    </row>
    <row r="76">
      <c r="A76" s="5" t="n"/>
      <c r="H76" s="7" t="n"/>
      <c r="L76" s="7" t="n"/>
      <c r="M76" s="5" t="n"/>
      <c r="N76" s="8">
        <f>IF(L76="","",L76-H76)</f>
        <v/>
      </c>
    </row>
    <row r="77">
      <c r="A77" s="5" t="n"/>
      <c r="H77" s="7" t="n"/>
      <c r="L77" s="7" t="n"/>
      <c r="M77" s="5" t="n"/>
      <c r="N77" s="8">
        <f>IF(L77="","",L77-H77)</f>
        <v/>
      </c>
    </row>
    <row r="78">
      <c r="A78" s="5" t="n"/>
      <c r="H78" s="7" t="n"/>
      <c r="L78" s="7" t="n"/>
      <c r="M78" s="5" t="n"/>
      <c r="N78" s="8">
        <f>IF(L78="","",L78-H78)</f>
        <v/>
      </c>
    </row>
    <row r="79">
      <c r="A79" s="5" t="n"/>
      <c r="H79" s="7" t="n"/>
      <c r="L79" s="7" t="n"/>
      <c r="M79" s="5" t="n"/>
      <c r="N79" s="8">
        <f>IF(L79="","",L79-H79)</f>
        <v/>
      </c>
    </row>
    <row r="80">
      <c r="A80" s="5" t="n"/>
      <c r="H80" s="7" t="n"/>
      <c r="L80" s="7" t="n"/>
      <c r="M80" s="5" t="n"/>
      <c r="N80" s="8">
        <f>IF(L80="","",L80-H80)</f>
        <v/>
      </c>
    </row>
    <row r="81">
      <c r="A81" s="5" t="n"/>
      <c r="H81" s="7" t="n"/>
      <c r="L81" s="7" t="n"/>
      <c r="M81" s="5" t="n"/>
      <c r="N81" s="8">
        <f>IF(L81="","",L81-H81)</f>
        <v/>
      </c>
    </row>
    <row r="82">
      <c r="A82" s="5" t="n"/>
      <c r="H82" s="7" t="n"/>
      <c r="L82" s="7" t="n"/>
      <c r="M82" s="5" t="n"/>
      <c r="N82" s="8">
        <f>IF(L82="","",L82-H82)</f>
        <v/>
      </c>
    </row>
    <row r="83">
      <c r="A83" s="5" t="n"/>
      <c r="H83" s="7" t="n"/>
      <c r="L83" s="7" t="n"/>
      <c r="M83" s="5" t="n"/>
      <c r="N83" s="8">
        <f>IF(L83="","",L83-H83)</f>
        <v/>
      </c>
    </row>
    <row r="84">
      <c r="A84" s="5" t="n"/>
      <c r="H84" s="7" t="n"/>
      <c r="L84" s="7" t="n"/>
      <c r="M84" s="5" t="n"/>
      <c r="N84" s="8">
        <f>IF(L84="","",L84-H84)</f>
        <v/>
      </c>
    </row>
    <row r="85">
      <c r="A85" s="5" t="n"/>
      <c r="H85" s="7" t="n"/>
      <c r="L85" s="7" t="n"/>
      <c r="M85" s="5" t="n"/>
      <c r="N85" s="8">
        <f>IF(L85="","",L85-H85)</f>
        <v/>
      </c>
    </row>
    <row r="86">
      <c r="A86" s="5" t="n"/>
      <c r="H86" s="7" t="n"/>
      <c r="L86" s="7" t="n"/>
      <c r="M86" s="5" t="n"/>
      <c r="N86" s="8">
        <f>IF(L86="","",L86-H86)</f>
        <v/>
      </c>
    </row>
    <row r="87">
      <c r="A87" s="5" t="n"/>
      <c r="H87" s="7" t="n"/>
      <c r="L87" s="7" t="n"/>
      <c r="M87" s="5" t="n"/>
      <c r="N87" s="8">
        <f>IF(L87="","",L87-H87)</f>
        <v/>
      </c>
    </row>
    <row r="88">
      <c r="A88" s="5" t="n"/>
      <c r="H88" s="7" t="n"/>
      <c r="L88" s="7" t="n"/>
      <c r="M88" s="5" t="n"/>
      <c r="N88" s="8">
        <f>IF(L88="","",L88-H88)</f>
        <v/>
      </c>
    </row>
    <row r="89">
      <c r="A89" s="5" t="n"/>
      <c r="H89" s="7" t="n"/>
      <c r="L89" s="7" t="n"/>
      <c r="M89" s="5" t="n"/>
      <c r="N89" s="8">
        <f>IF(L89="","",L89-H89)</f>
        <v/>
      </c>
    </row>
    <row r="90">
      <c r="A90" s="5" t="n"/>
      <c r="H90" s="7" t="n"/>
      <c r="L90" s="7" t="n"/>
      <c r="M90" s="5" t="n"/>
      <c r="N90" s="8">
        <f>IF(L90="","",L90-H90)</f>
        <v/>
      </c>
    </row>
    <row r="91">
      <c r="A91" s="5" t="n"/>
      <c r="H91" s="7" t="n"/>
      <c r="L91" s="7" t="n"/>
      <c r="M91" s="5" t="n"/>
      <c r="N91" s="8">
        <f>IF(L91="","",L91-H91)</f>
        <v/>
      </c>
    </row>
    <row r="92">
      <c r="A92" s="5" t="n"/>
      <c r="H92" s="7" t="n"/>
      <c r="L92" s="7" t="n"/>
      <c r="M92" s="5" t="n"/>
      <c r="N92" s="8">
        <f>IF(L92="","",L92-H92)</f>
        <v/>
      </c>
    </row>
    <row r="93">
      <c r="A93" s="5" t="n"/>
      <c r="H93" s="7" t="n"/>
      <c r="L93" s="7" t="n"/>
      <c r="M93" s="5" t="n"/>
      <c r="N93" s="8">
        <f>IF(L93="","",L93-H93)</f>
        <v/>
      </c>
    </row>
    <row r="94">
      <c r="A94" s="5" t="n"/>
      <c r="H94" s="7" t="n"/>
      <c r="L94" s="7" t="n"/>
      <c r="M94" s="5" t="n"/>
      <c r="N94" s="8">
        <f>IF(L94="","",L94-H94)</f>
        <v/>
      </c>
    </row>
    <row r="95">
      <c r="A95" s="5" t="n"/>
      <c r="H95" s="7" t="n"/>
      <c r="L95" s="7" t="n"/>
      <c r="M95" s="5" t="n"/>
      <c r="N95" s="8">
        <f>IF(L95="","",L95-H95)</f>
        <v/>
      </c>
    </row>
    <row r="96">
      <c r="A96" s="5" t="n"/>
      <c r="H96" s="7" t="n"/>
      <c r="L96" s="7" t="n"/>
      <c r="M96" s="5" t="n"/>
      <c r="N96" s="8">
        <f>IF(L96="","",L96-H96)</f>
        <v/>
      </c>
    </row>
    <row r="97">
      <c r="A97" s="5" t="n"/>
      <c r="H97" s="7" t="n"/>
      <c r="L97" s="7" t="n"/>
      <c r="M97" s="5" t="n"/>
      <c r="N97" s="8">
        <f>IF(L97="","",L97-H97)</f>
        <v/>
      </c>
    </row>
    <row r="98">
      <c r="A98" s="5" t="n"/>
      <c r="H98" s="7" t="n"/>
      <c r="L98" s="7" t="n"/>
      <c r="M98" s="5" t="n"/>
      <c r="N98" s="8">
        <f>IF(L98="","",L98-H98)</f>
        <v/>
      </c>
    </row>
    <row r="99">
      <c r="A99" s="5" t="n"/>
      <c r="H99" s="7" t="n"/>
      <c r="L99" s="7" t="n"/>
      <c r="M99" s="5" t="n"/>
      <c r="N99" s="8">
        <f>IF(L99="","",L99-H99)</f>
        <v/>
      </c>
    </row>
    <row r="100">
      <c r="A100" s="5" t="n"/>
      <c r="H100" s="7" t="n"/>
      <c r="L100" s="7" t="n"/>
      <c r="M100" s="5" t="n"/>
      <c r="N100" s="8">
        <f>IF(L100="","",L100-H100)</f>
        <v/>
      </c>
    </row>
    <row r="101">
      <c r="A101" s="5" t="n"/>
      <c r="H101" s="7" t="n"/>
      <c r="L101" s="7" t="n"/>
      <c r="M101" s="5" t="n"/>
      <c r="N101" s="8">
        <f>IF(L101="","",L101-H101)</f>
        <v/>
      </c>
    </row>
    <row r="102">
      <c r="A102" s="5" t="n"/>
      <c r="H102" s="7" t="n"/>
      <c r="L102" s="7" t="n"/>
      <c r="M102" s="5" t="n"/>
      <c r="N102" s="8">
        <f>IF(L102="","",L102-H102)</f>
        <v/>
      </c>
    </row>
    <row r="103">
      <c r="A103" s="5" t="n"/>
      <c r="H103" s="7" t="n"/>
      <c r="L103" s="7" t="n"/>
      <c r="M103" s="5" t="n"/>
      <c r="N103" s="8">
        <f>IF(L103="","",L103-H103)</f>
        <v/>
      </c>
    </row>
    <row r="104">
      <c r="A104" s="5" t="n"/>
      <c r="H104" s="7" t="n"/>
      <c r="L104" s="7" t="n"/>
      <c r="M104" s="5" t="n"/>
      <c r="N104" s="8">
        <f>IF(L104="","",L104-H104)</f>
        <v/>
      </c>
    </row>
    <row r="105">
      <c r="A105" s="5" t="n"/>
      <c r="H105" s="7" t="n"/>
      <c r="L105" s="7" t="n"/>
      <c r="M105" s="5" t="n"/>
      <c r="N105" s="8">
        <f>IF(L105="","",L105-H105)</f>
        <v/>
      </c>
    </row>
    <row r="106">
      <c r="A106" s="5" t="n"/>
      <c r="H106" s="7" t="n"/>
      <c r="L106" s="7" t="n"/>
      <c r="M106" s="5" t="n"/>
      <c r="N106" s="8">
        <f>IF(L106="","",L106-H106)</f>
        <v/>
      </c>
    </row>
    <row r="107">
      <c r="A107" s="5" t="n"/>
      <c r="H107" s="7" t="n"/>
      <c r="L107" s="7" t="n"/>
      <c r="M107" s="5" t="n"/>
      <c r="N107" s="8">
        <f>IF(L107="","",L107-H107)</f>
        <v/>
      </c>
    </row>
    <row r="108">
      <c r="A108" s="5" t="n"/>
      <c r="H108" s="7" t="n"/>
      <c r="L108" s="7" t="n"/>
      <c r="M108" s="5" t="n"/>
      <c r="N108" s="8">
        <f>IF(L108="","",L108-H108)</f>
        <v/>
      </c>
    </row>
    <row r="109">
      <c r="A109" s="5" t="n"/>
      <c r="H109" s="7" t="n"/>
      <c r="L109" s="7" t="n"/>
      <c r="M109" s="5" t="n"/>
      <c r="N109" s="8">
        <f>IF(L109="","",L109-H109)</f>
        <v/>
      </c>
    </row>
    <row r="110">
      <c r="A110" s="5" t="n"/>
      <c r="H110" s="7" t="n"/>
      <c r="L110" s="7" t="n"/>
      <c r="M110" s="5" t="n"/>
      <c r="N110" s="8">
        <f>IF(L110="","",L110-H110)</f>
        <v/>
      </c>
    </row>
    <row r="111">
      <c r="A111" s="5" t="n"/>
      <c r="H111" s="7" t="n"/>
      <c r="L111" s="7" t="n"/>
      <c r="M111" s="5" t="n"/>
      <c r="N111" s="8">
        <f>IF(L111="","",L111-H111)</f>
        <v/>
      </c>
    </row>
    <row r="112">
      <c r="A112" s="5" t="n"/>
      <c r="H112" s="7" t="n"/>
      <c r="L112" s="7" t="n"/>
      <c r="M112" s="5" t="n"/>
      <c r="N112" s="8">
        <f>IF(L112="","",L112-H112)</f>
        <v/>
      </c>
    </row>
    <row r="113">
      <c r="A113" s="5" t="n"/>
      <c r="H113" s="7" t="n"/>
      <c r="L113" s="7" t="n"/>
      <c r="M113" s="5" t="n"/>
      <c r="N113" s="8">
        <f>IF(L113="","",L113-H113)</f>
        <v/>
      </c>
    </row>
    <row r="114">
      <c r="A114" s="5" t="n"/>
      <c r="H114" s="7" t="n"/>
      <c r="L114" s="7" t="n"/>
      <c r="M114" s="5" t="n"/>
      <c r="N114" s="8">
        <f>IF(L114="","",L114-H114)</f>
        <v/>
      </c>
    </row>
    <row r="115">
      <c r="A115" s="5" t="n"/>
      <c r="H115" s="7" t="n"/>
      <c r="L115" s="7" t="n"/>
      <c r="M115" s="5" t="n"/>
      <c r="N115" s="8">
        <f>IF(L115="","",L115-H115)</f>
        <v/>
      </c>
    </row>
    <row r="116">
      <c r="A116" s="5" t="n"/>
      <c r="H116" s="7" t="n"/>
      <c r="L116" s="7" t="n"/>
      <c r="M116" s="5" t="n"/>
      <c r="N116" s="8">
        <f>IF(L116="","",L116-H116)</f>
        <v/>
      </c>
    </row>
    <row r="117">
      <c r="A117" s="5" t="n"/>
      <c r="H117" s="7" t="n"/>
      <c r="L117" s="7" t="n"/>
      <c r="M117" s="5" t="n"/>
      <c r="N117" s="8">
        <f>IF(L117="","",L117-H117)</f>
        <v/>
      </c>
    </row>
    <row r="118">
      <c r="A118" s="5" t="n"/>
      <c r="H118" s="7" t="n"/>
      <c r="L118" s="7" t="n"/>
      <c r="M118" s="5" t="n"/>
      <c r="N118" s="8">
        <f>IF(L118="","",L118-H118)</f>
        <v/>
      </c>
    </row>
    <row r="119">
      <c r="A119" s="5" t="n"/>
      <c r="H119" s="7" t="n"/>
      <c r="L119" s="7" t="n"/>
      <c r="M119" s="5" t="n"/>
      <c r="N119" s="8">
        <f>IF(L119="","",L119-H119)</f>
        <v/>
      </c>
    </row>
    <row r="120">
      <c r="A120" s="5" t="n"/>
      <c r="H120" s="7" t="n"/>
      <c r="L120" s="7" t="n"/>
      <c r="M120" s="5" t="n"/>
      <c r="N120" s="8">
        <f>IF(L120="","",L120-H120)</f>
        <v/>
      </c>
    </row>
    <row r="121">
      <c r="A121" s="5" t="n"/>
      <c r="H121" s="7" t="n"/>
      <c r="L121" s="7" t="n"/>
      <c r="M121" s="5" t="n"/>
      <c r="N121" s="8">
        <f>IF(L121="","",L121-H121)</f>
        <v/>
      </c>
    </row>
    <row r="122">
      <c r="A122" s="5" t="n"/>
      <c r="H122" s="7" t="n"/>
      <c r="L122" s="7" t="n"/>
      <c r="M122" s="5" t="n"/>
      <c r="N122" s="8">
        <f>IF(L122="","",L122-H122)</f>
        <v/>
      </c>
    </row>
    <row r="123">
      <c r="A123" s="5" t="n"/>
      <c r="H123" s="7" t="n"/>
      <c r="L123" s="7" t="n"/>
      <c r="M123" s="5" t="n"/>
      <c r="N123" s="8">
        <f>IF(L123="","",L123-H123)</f>
        <v/>
      </c>
    </row>
    <row r="124">
      <c r="A124" s="5" t="n"/>
      <c r="H124" s="7" t="n"/>
      <c r="L124" s="7" t="n"/>
      <c r="M124" s="5" t="n"/>
      <c r="N124" s="8">
        <f>IF(L124="","",L124-H124)</f>
        <v/>
      </c>
    </row>
    <row r="125">
      <c r="A125" s="5" t="n"/>
      <c r="H125" s="7" t="n"/>
      <c r="L125" s="7" t="n"/>
      <c r="M125" s="5" t="n"/>
      <c r="N125" s="8">
        <f>IF(L125="","",L125-H125)</f>
        <v/>
      </c>
    </row>
    <row r="126">
      <c r="A126" s="5" t="n"/>
      <c r="H126" s="7" t="n"/>
      <c r="L126" s="7" t="n"/>
      <c r="M126" s="5" t="n"/>
      <c r="N126" s="8">
        <f>IF(L126="","",L126-H126)</f>
        <v/>
      </c>
    </row>
    <row r="127">
      <c r="A127" s="5" t="n"/>
      <c r="H127" s="7" t="n"/>
      <c r="L127" s="7" t="n"/>
      <c r="M127" s="5" t="n"/>
      <c r="N127" s="8">
        <f>IF(L127="","",L127-H127)</f>
        <v/>
      </c>
    </row>
    <row r="128">
      <c r="A128" s="5" t="n"/>
      <c r="H128" s="7" t="n"/>
      <c r="L128" s="7" t="n"/>
      <c r="M128" s="5" t="n"/>
      <c r="N128" s="8">
        <f>IF(L128="","",L128-H128)</f>
        <v/>
      </c>
    </row>
    <row r="129">
      <c r="A129" s="5" t="n"/>
      <c r="H129" s="7" t="n"/>
      <c r="L129" s="7" t="n"/>
      <c r="M129" s="5" t="n"/>
      <c r="N129" s="8">
        <f>IF(L129="","",L129-H129)</f>
        <v/>
      </c>
    </row>
    <row r="130">
      <c r="A130" s="5" t="n"/>
      <c r="H130" s="7" t="n"/>
      <c r="L130" s="7" t="n"/>
      <c r="M130" s="5" t="n"/>
      <c r="N130" s="8">
        <f>IF(L130="","",L130-H130)</f>
        <v/>
      </c>
    </row>
    <row r="131">
      <c r="A131" s="5" t="n"/>
      <c r="H131" s="7" t="n"/>
      <c r="L131" s="7" t="n"/>
      <c r="M131" s="5" t="n"/>
      <c r="N131" s="8">
        <f>IF(L131="","",L131-H131)</f>
        <v/>
      </c>
    </row>
    <row r="132">
      <c r="A132" s="5" t="n"/>
      <c r="H132" s="7" t="n"/>
      <c r="L132" s="7" t="n"/>
      <c r="M132" s="5" t="n"/>
      <c r="N132" s="8">
        <f>IF(L132="","",L132-H132)</f>
        <v/>
      </c>
    </row>
    <row r="133">
      <c r="A133" s="5" t="n"/>
      <c r="H133" s="7" t="n"/>
      <c r="L133" s="7" t="n"/>
      <c r="M133" s="5" t="n"/>
      <c r="N133" s="8">
        <f>IF(L133="","",L133-H133)</f>
        <v/>
      </c>
    </row>
    <row r="134">
      <c r="A134" s="5" t="n"/>
      <c r="H134" s="7" t="n"/>
      <c r="L134" s="7" t="n"/>
      <c r="M134" s="5" t="n"/>
      <c r="N134" s="8">
        <f>IF(L134="","",L134-H134)</f>
        <v/>
      </c>
    </row>
    <row r="135">
      <c r="A135" s="5" t="n"/>
      <c r="H135" s="7" t="n"/>
      <c r="L135" s="7" t="n"/>
      <c r="M135" s="5" t="n"/>
      <c r="N135" s="8">
        <f>IF(L135="","",L135-H135)</f>
        <v/>
      </c>
    </row>
    <row r="136">
      <c r="A136" s="5" t="n"/>
      <c r="H136" s="7" t="n"/>
      <c r="L136" s="7" t="n"/>
      <c r="M136" s="5" t="n"/>
      <c r="N136" s="8">
        <f>IF(L136="","",L136-H136)</f>
        <v/>
      </c>
    </row>
    <row r="137">
      <c r="A137" s="5" t="n"/>
      <c r="H137" s="7" t="n"/>
      <c r="L137" s="7" t="n"/>
      <c r="M137" s="5" t="n"/>
      <c r="N137" s="8">
        <f>IF(L137="","",L137-H137)</f>
        <v/>
      </c>
    </row>
    <row r="138">
      <c r="A138" s="5" t="n"/>
      <c r="H138" s="7" t="n"/>
      <c r="L138" s="7" t="n"/>
      <c r="M138" s="5" t="n"/>
      <c r="N138" s="8">
        <f>IF(L138="","",L138-H138)</f>
        <v/>
      </c>
    </row>
    <row r="139">
      <c r="A139" s="5" t="n"/>
      <c r="H139" s="7" t="n"/>
      <c r="L139" s="7" t="n"/>
      <c r="M139" s="5" t="n"/>
      <c r="N139" s="8">
        <f>IF(L139="","",L139-H139)</f>
        <v/>
      </c>
    </row>
    <row r="140">
      <c r="A140" s="5" t="n"/>
      <c r="H140" s="7" t="n"/>
      <c r="L140" s="7" t="n"/>
      <c r="M140" s="5" t="n"/>
      <c r="N140" s="8">
        <f>IF(L140="","",L140-H140)</f>
        <v/>
      </c>
    </row>
    <row r="141">
      <c r="A141" s="5" t="n"/>
      <c r="H141" s="7" t="n"/>
      <c r="L141" s="7" t="n"/>
      <c r="M141" s="5" t="n"/>
      <c r="N141" s="8">
        <f>IF(L141="","",L141-H141)</f>
        <v/>
      </c>
    </row>
    <row r="142">
      <c r="A142" s="5" t="n"/>
      <c r="H142" s="7" t="n"/>
      <c r="L142" s="7" t="n"/>
      <c r="M142" s="5" t="n"/>
      <c r="N142" s="8">
        <f>IF(L142="","",L142-H142)</f>
        <v/>
      </c>
    </row>
    <row r="143">
      <c r="A143" s="5" t="n"/>
      <c r="H143" s="7" t="n"/>
      <c r="L143" s="7" t="n"/>
      <c r="M143" s="5" t="n"/>
      <c r="N143" s="8">
        <f>IF(L143="","",L143-H143)</f>
        <v/>
      </c>
    </row>
    <row r="144">
      <c r="A144" s="5" t="n"/>
      <c r="H144" s="7" t="n"/>
      <c r="L144" s="7" t="n"/>
      <c r="M144" s="5" t="n"/>
      <c r="N144" s="8">
        <f>IF(L144="","",L144-H144)</f>
        <v/>
      </c>
    </row>
    <row r="145">
      <c r="A145" s="5" t="n"/>
      <c r="H145" s="7" t="n"/>
      <c r="L145" s="7" t="n"/>
      <c r="M145" s="5" t="n"/>
      <c r="N145" s="8">
        <f>IF(L145="","",L145-H145)</f>
        <v/>
      </c>
    </row>
    <row r="146">
      <c r="A146" s="5" t="n"/>
      <c r="H146" s="7" t="n"/>
      <c r="L146" s="7" t="n"/>
      <c r="M146" s="5" t="n"/>
      <c r="N146" s="8">
        <f>IF(L146="","",L146-H146)</f>
        <v/>
      </c>
    </row>
    <row r="147">
      <c r="A147" s="5" t="n"/>
      <c r="H147" s="7" t="n"/>
      <c r="L147" s="7" t="n"/>
      <c r="M147" s="5" t="n"/>
      <c r="N147" s="8">
        <f>IF(L147="","",L147-H147)</f>
        <v/>
      </c>
    </row>
    <row r="148">
      <c r="A148" s="5" t="n"/>
      <c r="H148" s="7" t="n"/>
      <c r="L148" s="7" t="n"/>
      <c r="M148" s="5" t="n"/>
      <c r="N148" s="8">
        <f>IF(L148="","",L148-H148)</f>
        <v/>
      </c>
    </row>
    <row r="149">
      <c r="A149" s="5" t="n"/>
      <c r="H149" s="7" t="n"/>
      <c r="L149" s="7" t="n"/>
      <c r="M149" s="5" t="n"/>
      <c r="N149" s="8">
        <f>IF(L149="","",L149-H149)</f>
        <v/>
      </c>
    </row>
    <row r="150">
      <c r="A150" s="5" t="n"/>
      <c r="H150" s="7" t="n"/>
      <c r="L150" s="7" t="n"/>
      <c r="M150" s="5" t="n"/>
      <c r="N150" s="8">
        <f>IF(L150="","",L150-H150)</f>
        <v/>
      </c>
    </row>
    <row r="151">
      <c r="A151" s="5" t="n"/>
      <c r="H151" s="7" t="n"/>
      <c r="L151" s="7" t="n"/>
      <c r="M151" s="5" t="n"/>
      <c r="N151" s="8">
        <f>IF(L151="","",L151-H151)</f>
        <v/>
      </c>
    </row>
    <row r="152">
      <c r="A152" s="5" t="n"/>
      <c r="H152" s="7" t="n"/>
      <c r="L152" s="7" t="n"/>
      <c r="M152" s="5" t="n"/>
      <c r="N152" s="8">
        <f>IF(L152="","",L152-H152)</f>
        <v/>
      </c>
    </row>
    <row r="153">
      <c r="A153" s="5" t="n"/>
      <c r="H153" s="7" t="n"/>
      <c r="L153" s="7" t="n"/>
      <c r="M153" s="5" t="n"/>
      <c r="N153" s="8">
        <f>IF(L153="","",L153-H153)</f>
        <v/>
      </c>
    </row>
    <row r="154">
      <c r="A154" s="5" t="n"/>
      <c r="H154" s="7" t="n"/>
      <c r="L154" s="7" t="n"/>
      <c r="M154" s="5" t="n"/>
      <c r="N154" s="8">
        <f>IF(L154="","",L154-H154)</f>
        <v/>
      </c>
    </row>
    <row r="155">
      <c r="A155" s="5" t="n"/>
      <c r="H155" s="7" t="n"/>
      <c r="L155" s="7" t="n"/>
      <c r="M155" s="5" t="n"/>
      <c r="N155" s="8">
        <f>IF(L155="","",L155-H155)</f>
        <v/>
      </c>
    </row>
    <row r="156">
      <c r="A156" s="5" t="n"/>
      <c r="H156" s="7" t="n"/>
      <c r="L156" s="7" t="n"/>
      <c r="M156" s="5" t="n"/>
      <c r="N156" s="8">
        <f>IF(L156="","",L156-H156)</f>
        <v/>
      </c>
    </row>
    <row r="157">
      <c r="A157" s="5" t="n"/>
      <c r="H157" s="7" t="n"/>
      <c r="L157" s="7" t="n"/>
      <c r="M157" s="5" t="n"/>
      <c r="N157" s="8">
        <f>IF(L157="","",L157-H157)</f>
        <v/>
      </c>
    </row>
    <row r="158">
      <c r="A158" s="5" t="n"/>
      <c r="H158" s="7" t="n"/>
      <c r="L158" s="7" t="n"/>
      <c r="M158" s="5" t="n"/>
      <c r="N158" s="8">
        <f>IF(L158="","",L158-H158)</f>
        <v/>
      </c>
    </row>
    <row r="159">
      <c r="A159" s="5" t="n"/>
      <c r="H159" s="7" t="n"/>
      <c r="L159" s="7" t="n"/>
      <c r="M159" s="5" t="n"/>
      <c r="N159" s="8">
        <f>IF(L159="","",L159-H159)</f>
        <v/>
      </c>
    </row>
    <row r="160">
      <c r="A160" s="5" t="n"/>
      <c r="H160" s="7" t="n"/>
      <c r="L160" s="7" t="n"/>
      <c r="M160" s="5" t="n"/>
      <c r="N160" s="8">
        <f>IF(L160="","",L160-H160)</f>
        <v/>
      </c>
    </row>
    <row r="161">
      <c r="A161" s="5" t="n"/>
      <c r="H161" s="7" t="n"/>
      <c r="L161" s="7" t="n"/>
      <c r="M161" s="5" t="n"/>
      <c r="N161" s="8">
        <f>IF(L161="","",L161-H161)</f>
        <v/>
      </c>
    </row>
    <row r="162">
      <c r="A162" s="5" t="n"/>
      <c r="H162" s="7" t="n"/>
      <c r="L162" s="7" t="n"/>
      <c r="M162" s="5" t="n"/>
      <c r="N162" s="8">
        <f>IF(L162="","",L162-H162)</f>
        <v/>
      </c>
    </row>
    <row r="163">
      <c r="A163" s="5" t="n"/>
      <c r="H163" s="7" t="n"/>
      <c r="L163" s="7" t="n"/>
      <c r="M163" s="5" t="n"/>
      <c r="N163" s="8">
        <f>IF(L163="","",L163-H163)</f>
        <v/>
      </c>
    </row>
    <row r="164">
      <c r="A164" s="5" t="n"/>
      <c r="H164" s="7" t="n"/>
      <c r="L164" s="7" t="n"/>
      <c r="M164" s="5" t="n"/>
      <c r="N164" s="8">
        <f>IF(L164="","",L164-H164)</f>
        <v/>
      </c>
    </row>
    <row r="165">
      <c r="A165" s="5" t="n"/>
      <c r="H165" s="7" t="n"/>
      <c r="L165" s="7" t="n"/>
      <c r="M165" s="5" t="n"/>
      <c r="N165" s="8">
        <f>IF(L165="","",L165-H165)</f>
        <v/>
      </c>
    </row>
    <row r="166">
      <c r="A166" s="5" t="n"/>
      <c r="H166" s="7" t="n"/>
      <c r="L166" s="7" t="n"/>
      <c r="M166" s="5" t="n"/>
      <c r="N166" s="8">
        <f>IF(L166="","",L166-H166)</f>
        <v/>
      </c>
    </row>
    <row r="167">
      <c r="A167" s="5" t="n"/>
      <c r="H167" s="7" t="n"/>
      <c r="L167" s="7" t="n"/>
      <c r="M167" s="5" t="n"/>
      <c r="N167" s="8">
        <f>IF(L167="","",L167-H167)</f>
        <v/>
      </c>
    </row>
    <row r="168">
      <c r="A168" s="5" t="n"/>
      <c r="H168" s="7" t="n"/>
      <c r="L168" s="7" t="n"/>
      <c r="M168" s="5" t="n"/>
      <c r="N168" s="8">
        <f>IF(L168="","",L168-H168)</f>
        <v/>
      </c>
    </row>
    <row r="169">
      <c r="A169" s="5" t="n"/>
      <c r="H169" s="7" t="n"/>
      <c r="L169" s="7" t="n"/>
      <c r="M169" s="5" t="n"/>
      <c r="N169" s="8">
        <f>IF(L169="","",L169-H169)</f>
        <v/>
      </c>
    </row>
    <row r="170">
      <c r="A170" s="5" t="n"/>
      <c r="H170" s="7" t="n"/>
      <c r="L170" s="7" t="n"/>
      <c r="M170" s="5" t="n"/>
      <c r="N170" s="8">
        <f>IF(L170="","",L170-H170)</f>
        <v/>
      </c>
    </row>
    <row r="171">
      <c r="A171" s="5" t="n"/>
      <c r="H171" s="7" t="n"/>
      <c r="L171" s="7" t="n"/>
      <c r="M171" s="5" t="n"/>
      <c r="N171" s="8">
        <f>IF(L171="","",L171-H171)</f>
        <v/>
      </c>
    </row>
    <row r="172">
      <c r="A172" s="5" t="n"/>
      <c r="H172" s="7" t="n"/>
      <c r="L172" s="7" t="n"/>
      <c r="M172" s="5" t="n"/>
      <c r="N172" s="8">
        <f>IF(L172="","",L172-H172)</f>
        <v/>
      </c>
    </row>
    <row r="173">
      <c r="A173" s="5" t="n"/>
      <c r="H173" s="7" t="n"/>
      <c r="L173" s="7" t="n"/>
      <c r="M173" s="5" t="n"/>
      <c r="N173" s="8">
        <f>IF(L173="","",L173-H173)</f>
        <v/>
      </c>
    </row>
    <row r="174">
      <c r="A174" s="5" t="n"/>
      <c r="H174" s="7" t="n"/>
      <c r="L174" s="7" t="n"/>
      <c r="M174" s="5" t="n"/>
      <c r="N174" s="8">
        <f>IF(L174="","",L174-H174)</f>
        <v/>
      </c>
    </row>
    <row r="175">
      <c r="A175" s="5" t="n"/>
      <c r="H175" s="7" t="n"/>
      <c r="L175" s="7" t="n"/>
      <c r="M175" s="5" t="n"/>
      <c r="N175" s="8">
        <f>IF(L175="","",L175-H175)</f>
        <v/>
      </c>
    </row>
    <row r="176">
      <c r="A176" s="5" t="n"/>
      <c r="H176" s="7" t="n"/>
      <c r="L176" s="7" t="n"/>
      <c r="M176" s="5" t="n"/>
      <c r="N176" s="8">
        <f>IF(L176="","",L176-H176)</f>
        <v/>
      </c>
    </row>
    <row r="177">
      <c r="A177" s="5" t="n"/>
      <c r="H177" s="7" t="n"/>
      <c r="L177" s="7" t="n"/>
      <c r="M177" s="5" t="n"/>
      <c r="N177" s="8">
        <f>IF(L177="","",L177-H177)</f>
        <v/>
      </c>
    </row>
    <row r="178">
      <c r="A178" s="5" t="n"/>
      <c r="H178" s="7" t="n"/>
      <c r="L178" s="7" t="n"/>
      <c r="M178" s="5" t="n"/>
      <c r="N178" s="8">
        <f>IF(L178="","",L178-H178)</f>
        <v/>
      </c>
    </row>
    <row r="179">
      <c r="A179" s="5" t="n"/>
      <c r="H179" s="7" t="n"/>
      <c r="L179" s="7" t="n"/>
      <c r="M179" s="5" t="n"/>
      <c r="N179" s="8">
        <f>IF(L179="","",L179-H179)</f>
        <v/>
      </c>
    </row>
    <row r="180">
      <c r="A180" s="5" t="n"/>
      <c r="H180" s="7" t="n"/>
      <c r="L180" s="7" t="n"/>
      <c r="M180" s="5" t="n"/>
      <c r="N180" s="8">
        <f>IF(L180="","",L180-H180)</f>
        <v/>
      </c>
    </row>
    <row r="181">
      <c r="A181" s="5" t="n"/>
      <c r="H181" s="7" t="n"/>
      <c r="L181" s="7" t="n"/>
      <c r="M181" s="5" t="n"/>
      <c r="N181" s="8">
        <f>IF(L181="","",L181-H181)</f>
        <v/>
      </c>
    </row>
    <row r="182">
      <c r="A182" s="5" t="n"/>
      <c r="H182" s="7" t="n"/>
      <c r="L182" s="7" t="n"/>
      <c r="M182" s="5" t="n"/>
      <c r="N182" s="8">
        <f>IF(L182="","",L182-H182)</f>
        <v/>
      </c>
    </row>
    <row r="183">
      <c r="A183" s="5" t="n"/>
      <c r="H183" s="7" t="n"/>
      <c r="L183" s="7" t="n"/>
      <c r="M183" s="5" t="n"/>
      <c r="N183" s="8">
        <f>IF(L183="","",L183-H183)</f>
        <v/>
      </c>
    </row>
    <row r="184">
      <c r="A184" s="5" t="n"/>
      <c r="H184" s="7" t="n"/>
      <c r="L184" s="7" t="n"/>
      <c r="M184" s="5" t="n"/>
      <c r="N184" s="8">
        <f>IF(L184="","",L184-H184)</f>
        <v/>
      </c>
    </row>
    <row r="185">
      <c r="A185" s="5" t="n"/>
      <c r="H185" s="7" t="n"/>
      <c r="L185" s="7" t="n"/>
      <c r="M185" s="5" t="n"/>
      <c r="N185" s="8">
        <f>IF(L185="","",L185-H185)</f>
        <v/>
      </c>
    </row>
    <row r="186">
      <c r="A186" s="5" t="n"/>
      <c r="H186" s="7" t="n"/>
      <c r="L186" s="7" t="n"/>
      <c r="M186" s="5" t="n"/>
      <c r="N186" s="8">
        <f>IF(L186="","",L186-H186)</f>
        <v/>
      </c>
    </row>
    <row r="187">
      <c r="A187" s="5" t="n"/>
      <c r="H187" s="7" t="n"/>
      <c r="L187" s="7" t="n"/>
      <c r="M187" s="5" t="n"/>
      <c r="N187" s="8">
        <f>IF(L187="","",L187-H187)</f>
        <v/>
      </c>
    </row>
    <row r="188">
      <c r="A188" s="5" t="n"/>
      <c r="H188" s="7" t="n"/>
      <c r="L188" s="7" t="n"/>
      <c r="M188" s="5" t="n"/>
      <c r="N188" s="8">
        <f>IF(L188="","",L188-H188)</f>
        <v/>
      </c>
    </row>
    <row r="189">
      <c r="A189" s="5" t="n"/>
      <c r="H189" s="7" t="n"/>
      <c r="L189" s="7" t="n"/>
      <c r="M189" s="5" t="n"/>
      <c r="N189" s="8">
        <f>IF(L189="","",L189-H189)</f>
        <v/>
      </c>
    </row>
    <row r="190">
      <c r="A190" s="5" t="n"/>
      <c r="H190" s="7" t="n"/>
      <c r="L190" s="7" t="n"/>
      <c r="M190" s="5" t="n"/>
      <c r="N190" s="8">
        <f>IF(L190="","",L190-H190)</f>
        <v/>
      </c>
    </row>
    <row r="191">
      <c r="A191" s="5" t="n"/>
      <c r="H191" s="7" t="n"/>
      <c r="L191" s="7" t="n"/>
      <c r="M191" s="5" t="n"/>
      <c r="N191" s="8">
        <f>IF(L191="","",L191-H191)</f>
        <v/>
      </c>
    </row>
    <row r="192">
      <c r="A192" s="5" t="n"/>
      <c r="H192" s="7" t="n"/>
      <c r="L192" s="7" t="n"/>
      <c r="M192" s="5" t="n"/>
      <c r="N192" s="8">
        <f>IF(L192="","",L192-H192)</f>
        <v/>
      </c>
    </row>
    <row r="193">
      <c r="A193" s="5" t="n"/>
      <c r="H193" s="7" t="n"/>
      <c r="L193" s="7" t="n"/>
      <c r="M193" s="5" t="n"/>
      <c r="N193" s="8">
        <f>IF(L193="","",L193-H193)</f>
        <v/>
      </c>
    </row>
    <row r="194">
      <c r="A194" s="5" t="n"/>
      <c r="H194" s="7" t="n"/>
      <c r="L194" s="7" t="n"/>
      <c r="M194" s="5" t="n"/>
      <c r="N194" s="8">
        <f>IF(L194="","",L194-H194)</f>
        <v/>
      </c>
    </row>
    <row r="195">
      <c r="A195" s="5" t="n"/>
      <c r="H195" s="7" t="n"/>
      <c r="L195" s="7" t="n"/>
      <c r="M195" s="5" t="n"/>
      <c r="N195" s="8">
        <f>IF(L195="","",L195-H195)</f>
        <v/>
      </c>
    </row>
    <row r="196">
      <c r="A196" s="5" t="n"/>
      <c r="H196" s="7" t="n"/>
      <c r="L196" s="7" t="n"/>
      <c r="M196" s="5" t="n"/>
      <c r="N196" s="8">
        <f>IF(L196="","",L196-H196)</f>
        <v/>
      </c>
    </row>
    <row r="197">
      <c r="A197" s="5" t="n"/>
      <c r="H197" s="7" t="n"/>
      <c r="L197" s="7" t="n"/>
      <c r="M197" s="5" t="n"/>
      <c r="N197" s="8">
        <f>IF(L197="","",L197-H197)</f>
        <v/>
      </c>
    </row>
    <row r="198">
      <c r="A198" s="5" t="n"/>
      <c r="H198" s="7" t="n"/>
      <c r="L198" s="7" t="n"/>
      <c r="M198" s="5" t="n"/>
      <c r="N198" s="8">
        <f>IF(L198="","",L198-H198)</f>
        <v/>
      </c>
    </row>
    <row r="199">
      <c r="A199" s="5" t="n"/>
      <c r="H199" s="7" t="n"/>
      <c r="L199" s="7" t="n"/>
      <c r="M199" s="5" t="n"/>
      <c r="N199" s="8">
        <f>IF(L199="","",L199-H199)</f>
        <v/>
      </c>
    </row>
    <row r="200">
      <c r="A200" s="5" t="n"/>
      <c r="H200" s="7" t="n"/>
      <c r="L200" s="7" t="n"/>
      <c r="M200" s="5" t="n"/>
      <c r="N200" s="8">
        <f>IF(L200="","",L200-H200)</f>
        <v/>
      </c>
    </row>
    <row r="201">
      <c r="A201" s="5" t="n"/>
      <c r="H201" s="7" t="n"/>
      <c r="L201" s="7" t="n"/>
      <c r="M201" s="5" t="n"/>
      <c r="N201" s="8">
        <f>IF(L201="","",L201-H201)</f>
        <v/>
      </c>
    </row>
    <row r="202">
      <c r="A202" s="5" t="n"/>
      <c r="H202" s="7" t="n"/>
      <c r="L202" s="7" t="n"/>
      <c r="M202" s="5" t="n"/>
      <c r="N202" s="8">
        <f>IF(L202="","",L202-H202)</f>
        <v/>
      </c>
    </row>
    <row r="203">
      <c r="A203" s="5" t="n"/>
      <c r="H203" s="7" t="n"/>
      <c r="L203" s="7" t="n"/>
      <c r="M203" s="5" t="n"/>
      <c r="N203" s="8">
        <f>IF(L203="","",L203-H203)</f>
        <v/>
      </c>
    </row>
  </sheetData>
  <conditionalFormatting sqref="F4:F203">
    <cfRule type="expression" priority="1" dxfId="0">
      <formula>$F4="Scrap"</formula>
    </cfRule>
    <cfRule type="expression" priority="2" dxfId="1">
      <formula>$F4="eBay"</formula>
    </cfRule>
    <cfRule type="expression" priority="3" dxfId="2">
      <formula>$F4="Marketplace"</formula>
    </cfRule>
    <cfRule type="expression" priority="4" dxfId="3">
      <formula>$F4="Keep"</formula>
    </cfRule>
  </conditionalFormatting>
  <dataValidations count="4">
    <dataValidation sqref="E4:E203" showDropDown="0" showInputMessage="0" showErrorMessage="0" allowBlank="1" type="list">
      <formula1>"Works,Untested,Parts only,Broken"</formula1>
    </dataValidation>
    <dataValidation sqref="F4:F203" showDropDown="0" showInputMessage="0" showErrorMessage="0" allowBlank="1" type="list">
      <formula1>"Keep,eBay,Marketplace,Scrap,Donate,Trash,Undecided"</formula1>
    </dataValidation>
    <dataValidation sqref="G4:G203" showDropDown="0" showInputMessage="0" showErrorMessage="0" allowBlank="1" type="list">
      <formula1>"eBay,FB Marketplace,Craigslist,B&amp;W Scrap,Other yard,Donation,N/A"</formula1>
    </dataValidation>
    <dataValidation sqref="K4:K203" showDropDown="0" showInputMessage="0" showErrorMessage="0" allowBlank="1" type="list">
      <formula1>"To list,Listed,Sold,Scrapped,Donated,Kept,Trashed"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13" customWidth="1" min="4" max="4"/>
  </cols>
  <sheetData>
    <row r="1">
      <c r="A1" s="1" t="inlineStr">
        <is>
          <t>Garage Cleanout Summary</t>
        </is>
      </c>
    </row>
    <row r="3">
      <c r="A3" s="9" t="inlineStr">
        <is>
          <t>Decision</t>
        </is>
      </c>
      <c r="B3" s="9" t="inlineStr">
        <is>
          <t># Items</t>
        </is>
      </c>
      <c r="C3" s="9" t="inlineStr">
        <is>
          <t>Est. Value ($)</t>
        </is>
      </c>
      <c r="D3" s="9" t="inlineStr">
        <is>
          <t>Actual ($)</t>
        </is>
      </c>
    </row>
    <row r="4">
      <c r="A4" t="inlineStr">
        <is>
          <t>eBay</t>
        </is>
      </c>
      <c r="B4">
        <f>COUNTIF(Items!$F$4:$F$203,A4)</f>
        <v/>
      </c>
      <c r="C4" s="7">
        <f>SUMIF(Items!$F$4:$F$203,A4,Items!$H$4:$H$203)</f>
        <v/>
      </c>
      <c r="D4" s="7">
        <f>SUMIF(Items!$F$4:$F$203,A4,Items!$L$4:$L$203)</f>
        <v/>
      </c>
    </row>
    <row r="5">
      <c r="A5" t="inlineStr">
        <is>
          <t>Marketplace</t>
        </is>
      </c>
      <c r="B5">
        <f>COUNTIF(Items!$F$4:$F$203,A5)</f>
        <v/>
      </c>
      <c r="C5" s="7">
        <f>SUMIF(Items!$F$4:$F$203,A5,Items!$H$4:$H$203)</f>
        <v/>
      </c>
      <c r="D5" s="7">
        <f>SUMIF(Items!$F$4:$F$203,A5,Items!$L$4:$L$203)</f>
        <v/>
      </c>
    </row>
    <row r="6">
      <c r="A6" t="inlineStr">
        <is>
          <t>Scrap</t>
        </is>
      </c>
      <c r="B6">
        <f>COUNTIF(Items!$F$4:$F$203,A6)</f>
        <v/>
      </c>
      <c r="C6" s="7">
        <f>SUMIF(Items!$F$4:$F$203,A6,Items!$H$4:$H$203)</f>
        <v/>
      </c>
      <c r="D6" s="7">
        <f>SUMIF(Items!$F$4:$F$203,A6,Items!$L$4:$L$203)</f>
        <v/>
      </c>
    </row>
    <row r="7">
      <c r="A7" t="inlineStr">
        <is>
          <t>Keep</t>
        </is>
      </c>
      <c r="B7">
        <f>COUNTIF(Items!$F$4:$F$203,A7)</f>
        <v/>
      </c>
      <c r="C7" s="7">
        <f>SUMIF(Items!$F$4:$F$203,A7,Items!$H$4:$H$203)</f>
        <v/>
      </c>
      <c r="D7" s="7">
        <f>SUMIF(Items!$F$4:$F$203,A7,Items!$L$4:$L$203)</f>
        <v/>
      </c>
    </row>
    <row r="8">
      <c r="A8" t="inlineStr">
        <is>
          <t>Donate</t>
        </is>
      </c>
      <c r="B8">
        <f>COUNTIF(Items!$F$4:$F$203,A8)</f>
        <v/>
      </c>
      <c r="C8" s="7">
        <f>SUMIF(Items!$F$4:$F$203,A8,Items!$H$4:$H$203)</f>
        <v/>
      </c>
      <c r="D8" s="7">
        <f>SUMIF(Items!$F$4:$F$203,A8,Items!$L$4:$L$203)</f>
        <v/>
      </c>
    </row>
    <row r="9">
      <c r="A9" t="inlineStr">
        <is>
          <t>Trash</t>
        </is>
      </c>
      <c r="B9">
        <f>COUNTIF(Items!$F$4:$F$203,A9)</f>
        <v/>
      </c>
      <c r="C9" s="7">
        <f>SUMIF(Items!$F$4:$F$203,A9,Items!$H$4:$H$203)</f>
        <v/>
      </c>
      <c r="D9" s="7">
        <f>SUMIF(Items!$F$4:$F$203,A9,Items!$L$4:$L$203)</f>
        <v/>
      </c>
    </row>
    <row r="10">
      <c r="A10" t="inlineStr">
        <is>
          <t>Undecided</t>
        </is>
      </c>
      <c r="B10">
        <f>COUNTIF(Items!$F$4:$F$203,A10)</f>
        <v/>
      </c>
      <c r="C10" s="7">
        <f>SUMIF(Items!$F$4:$F$203,A10,Items!$H$4:$H$203)</f>
        <v/>
      </c>
      <c r="D10" s="7">
        <f>SUMIF(Items!$F$4:$F$203,A10,Items!$L$4:$L$203)</f>
        <v/>
      </c>
    </row>
    <row r="11">
      <c r="A11" s="10" t="inlineStr">
        <is>
          <t>Total</t>
        </is>
      </c>
      <c r="B11" s="10">
        <f>SUM(B4:B10)</f>
        <v/>
      </c>
      <c r="C11" s="11">
        <f>SUM(C4:C10)</f>
        <v/>
      </c>
      <c r="D11" s="11">
        <f>SUM(D4:D10)</f>
        <v/>
      </c>
    </row>
    <row r="13">
      <c r="A13" t="inlineStr">
        <is>
          <t>Still to list</t>
        </is>
      </c>
      <c r="B13">
        <f>COUNTIF(Items!$K$4:$K$203,"To list")</f>
        <v/>
      </c>
    </row>
    <row r="14">
      <c r="A14" t="inlineStr">
        <is>
          <t>Scrap weight (lbs)</t>
        </is>
      </c>
      <c r="B14">
        <f>SUMIF(Items!$F$4:$F$203,"Scrap",Items!$I$4:$I$203)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2026-10-21T20:02:32Z</dcterms:created>
  <dcterms:modified xmlns:dcterms="http://purl.org/dc/terms/" xmlns:xsi="http://www.w3.org/2001/XMLSchema-instance" xsi:type="dcterms:W3CDTF">2026-10-21T20:03:12Z</dcterms:modified>
</cp:coreProperties>
</file>