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s" sheetId="1" state="visible" r:id="rId3"/>
    <sheet name="Summary" sheetId="2" state="visible" r:id="rId4"/>
  </sheets>
  <definedNames>
    <definedName function="false" hidden="true" localSheetId="0" name="_xlnm._FilterDatabase" vbProcedure="false">Purchases!$A$3:$P$503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<sst xmlns="http://schemas.openxmlformats.org/spreadsheetml/2006/main" count="66" uniqueCount="61">
  <si>
    <t xml:space="preserve">B&amp;W Scrap Yard – RAM Purchase Log</t>
  </si>
  <si>
    <t xml:space="preserve">Fill in the yellow-header columns (A–K, P). Gray-header columns (L–O) calculate automatically. Row 4 is an example – overwrite or delete it.</t>
  </si>
  <si>
    <t xml:space="preserve">Date</t>
  </si>
  <si>
    <t xml:space="preserve">Receipt #</t>
  </si>
  <si>
    <t xml:space="preserve">RAM Type</t>
  </si>
  <si>
    <t xml:space="preserve">Form Factor</t>
  </si>
  <si>
    <t xml:space="preserve">GB per Stick</t>
  </si>
  <si>
    <t xml:space="preserve">Speed (MHz)</t>
  </si>
  <si>
    <t xml:space="preserve">Brand</t>
  </si>
  <si>
    <t xml:space="preserve">Qty (Sticks)</t>
  </si>
  <si>
    <t xml:space="preserve">Weight (lbs)</t>
  </si>
  <si>
    <t xml:space="preserve">Total Paid ($)</t>
  </si>
  <si>
    <t xml:space="preserve">Payment Method</t>
  </si>
  <si>
    <t xml:space="preserve">Total GB</t>
  </si>
  <si>
    <t xml:space="preserve">Cost per Stick ($)</t>
  </si>
  <si>
    <t xml:space="preserve">Cost per lb ($)</t>
  </si>
  <si>
    <t xml:space="preserve">Cost per GB ($)</t>
  </si>
  <si>
    <t xml:space="preserve">Notes</t>
  </si>
  <si>
    <t xml:space="preserve">BW-1001</t>
  </si>
  <si>
    <t xml:space="preserve">DDR4</t>
  </si>
  <si>
    <t xml:space="preserve">DIMM (Desktop)</t>
  </si>
  <si>
    <t xml:space="preserve">Samsung</t>
  </si>
  <si>
    <t xml:space="preserve">Cash</t>
  </si>
  <si>
    <t xml:space="preserve">Example row</t>
  </si>
  <si>
    <t xml:space="preserve">RAM Purchase Summary</t>
  </si>
  <si>
    <t xml:space="preserve">Total purchases</t>
  </si>
  <si>
    <t xml:space="preserve">Total spent</t>
  </si>
  <si>
    <t xml:space="preserve">Total sticks</t>
  </si>
  <si>
    <t xml:space="preserve">Total weight (lbs)</t>
  </si>
  <si>
    <t xml:space="preserve">Avg cost per stick</t>
  </si>
  <si>
    <t xml:space="preserve">Avg cost per lb</t>
  </si>
  <si>
    <t xml:space="preserve">Avg cost per GB</t>
  </si>
  <si>
    <t xml:space="preserve">By RAM Type</t>
  </si>
  <si>
    <t xml:space="preserve">Type</t>
  </si>
  <si>
    <t xml:space="preserve">Purchases</t>
  </si>
  <si>
    <t xml:space="preserve">Sticks</t>
  </si>
  <si>
    <t xml:space="preserve">GB</t>
  </si>
  <si>
    <t xml:space="preserve">Spent ($)</t>
  </si>
  <si>
    <t xml:space="preserve">Avg $/Stick</t>
  </si>
  <si>
    <t xml:space="preserve">DDR2</t>
  </si>
  <si>
    <t xml:space="preserve">DDR3</t>
  </si>
  <si>
    <t xml:space="preserve">DDR5</t>
  </si>
  <si>
    <t xml:space="preserve">Mixed</t>
  </si>
  <si>
    <t xml:space="preserve">Other</t>
  </si>
  <si>
    <t xml:space="preserve">By Month</t>
  </si>
  <si>
    <t xml:space="preserve">Year:</t>
  </si>
  <si>
    <t xml:space="preserve">← change the year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</si>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</sst>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0.00"/>
    <numFmt numFmtId="167" formatCode="\$#,##0.00"/>
    <numFmt numFmtId="168" formatCode="General"/>
    <numFmt numFmtId="169" formatCode="#,##0"/>
    <numFmt numFmtId="170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D9D9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5" min="14" style="0" width="12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3" t="s">
        <v>17</v>
      </c>
    </row>
    <row r="4" customFormat="false" ht="15" hidden="false" customHeight="false" outlineLevel="0" collapsed="false">
      <c r="A4" s="5" t="n">
        <v>46315</v>
      </c>
      <c r="B4" s="6" t="s">
        <v>18</v>
      </c>
      <c r="C4" s="6" t="s">
        <v>19</v>
      </c>
      <c r="D4" s="6" t="s">
        <v>20</v>
      </c>
      <c r="E4" s="6" t="n">
        <v>8</v>
      </c>
      <c r="F4" s="6" t="n">
        <v>2666</v>
      </c>
      <c r="G4" s="6" t="s">
        <v>21</v>
      </c>
      <c r="H4" s="6" t="n">
        <v>25</v>
      </c>
      <c r="I4" s="7" t="n">
        <v>1.5</v>
      </c>
      <c r="J4" s="8" t="n">
        <v>60</v>
      </c>
      <c r="K4" s="6" t="s">
        <v>22</v>
      </c>
      <c r="L4" s="9" t="n">
        <f aca="false">IF(OR(E4="",H4=""),"",E4*H4)</f>
        <v>200</v>
      </c>
      <c r="M4" s="10" t="n">
        <f aca="false">IF(OR(J4="",H4="",H4=0),"",J4/H4)</f>
        <v>2.4</v>
      </c>
      <c r="N4" s="10" t="n">
        <f aca="false">IF(OR(J4="",I4="",I4=0),"",J4/I4)</f>
        <v>40</v>
      </c>
      <c r="O4" s="10" t="n">
        <f aca="false">IF(OR(J4="",L4="",L4=0),"",J4/L4)</f>
        <v>0.3</v>
      </c>
      <c r="P4" s="6" t="s">
        <v>23</v>
      </c>
    </row>
    <row r="5" customFormat="false" ht="1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7"/>
      <c r="J5" s="8"/>
      <c r="K5" s="6"/>
      <c r="L5" s="9" t="str">
        <f aca="false">IF(OR(E5="",H5=""),"",E5*H5)</f>
        <v/>
      </c>
      <c r="M5" s="10" t="str">
        <f aca="false">IF(OR(J5="",H5="",H5=0),"",J5/H5)</f>
        <v/>
      </c>
      <c r="N5" s="10" t="str">
        <f aca="false">IF(OR(J5="",I5="",I5=0),"",J5/I5)</f>
        <v/>
      </c>
      <c r="O5" s="10" t="str">
        <f aca="false">IF(OR(J5="",L5="",L5=0),"",J5/L5)</f>
        <v/>
      </c>
      <c r="P5" s="6"/>
    </row>
    <row r="6" customFormat="false" ht="15" hidden="false" customHeight="false" outlineLevel="0" collapsed="false">
      <c r="A6" s="5"/>
      <c r="B6" s="6"/>
      <c r="C6" s="6"/>
      <c r="D6" s="6"/>
      <c r="E6" s="6"/>
      <c r="F6" s="6"/>
      <c r="G6" s="6"/>
      <c r="H6" s="6"/>
      <c r="I6" s="7"/>
      <c r="J6" s="8"/>
      <c r="K6" s="6"/>
      <c r="L6" s="9" t="str">
        <f aca="false">IF(OR(E6="",H6=""),"",E6*H6)</f>
        <v/>
      </c>
      <c r="M6" s="10" t="str">
        <f aca="false">IF(OR(J6="",H6="",H6=0),"",J6/H6)</f>
        <v/>
      </c>
      <c r="N6" s="10" t="str">
        <f aca="false">IF(OR(J6="",I6="",I6=0),"",J6/I6)</f>
        <v/>
      </c>
      <c r="O6" s="10" t="str">
        <f aca="false">IF(OR(J6="",L6="",L6=0),"",J6/L6)</f>
        <v/>
      </c>
      <c r="P6" s="6"/>
    </row>
    <row r="7" customFormat="false" ht="15" hidden="false" customHeight="false" outlineLevel="0" collapsed="false">
      <c r="A7" s="5"/>
      <c r="B7" s="6"/>
      <c r="C7" s="6"/>
      <c r="D7" s="6"/>
      <c r="E7" s="6"/>
      <c r="F7" s="6"/>
      <c r="G7" s="6"/>
      <c r="H7" s="6"/>
      <c r="I7" s="7"/>
      <c r="J7" s="8"/>
      <c r="K7" s="6"/>
      <c r="L7" s="9" t="str">
        <f aca="false">IF(OR(E7="",H7=""),"",E7*H7)</f>
        <v/>
      </c>
      <c r="M7" s="10" t="str">
        <f aca="false">IF(OR(J7="",H7="",H7=0),"",J7/H7)</f>
        <v/>
      </c>
      <c r="N7" s="10" t="str">
        <f aca="false">IF(OR(J7="",I7="",I7=0),"",J7/I7)</f>
        <v/>
      </c>
      <c r="O7" s="10" t="str">
        <f aca="false">IF(OR(J7="",L7="",L7=0),"",J7/L7)</f>
        <v/>
      </c>
      <c r="P7" s="6"/>
    </row>
    <row r="8" customFormat="false" ht="15" hidden="false" customHeight="false" outlineLevel="0" collapsed="false">
      <c r="A8" s="5"/>
      <c r="B8" s="6"/>
      <c r="C8" s="6"/>
      <c r="D8" s="6"/>
      <c r="E8" s="6"/>
      <c r="F8" s="6"/>
      <c r="G8" s="6"/>
      <c r="H8" s="6"/>
      <c r="I8" s="7"/>
      <c r="J8" s="8"/>
      <c r="K8" s="6"/>
      <c r="L8" s="9" t="str">
        <f aca="false">IF(OR(E8="",H8=""),"",E8*H8)</f>
        <v/>
      </c>
      <c r="M8" s="10" t="str">
        <f aca="false">IF(OR(J8="",H8="",H8=0),"",J8/H8)</f>
        <v/>
      </c>
      <c r="N8" s="10" t="str">
        <f aca="false">IF(OR(J8="",I8="",I8=0),"",J8/I8)</f>
        <v/>
      </c>
      <c r="O8" s="10" t="str">
        <f aca="false">IF(OR(J8="",L8="",L8=0),"",J8/L8)</f>
        <v/>
      </c>
      <c r="P8" s="6"/>
    </row>
    <row r="9" customFormat="false" ht="15" hidden="false" customHeight="false" outlineLevel="0" collapsed="false">
      <c r="A9" s="5"/>
      <c r="B9" s="6"/>
      <c r="C9" s="6"/>
      <c r="D9" s="6"/>
      <c r="E9" s="6"/>
      <c r="F9" s="6"/>
      <c r="G9" s="6"/>
      <c r="H9" s="6"/>
      <c r="I9" s="7"/>
      <c r="J9" s="8"/>
      <c r="K9" s="6"/>
      <c r="L9" s="9" t="str">
        <f aca="false">IF(OR(E9="",H9=""),"",E9*H9)</f>
        <v/>
      </c>
      <c r="M9" s="10" t="str">
        <f aca="false">IF(OR(J9="",H9="",H9=0),"",J9/H9)</f>
        <v/>
      </c>
      <c r="N9" s="10" t="str">
        <f aca="false">IF(OR(J9="",I9="",I9=0),"",J9/I9)</f>
        <v/>
      </c>
      <c r="O9" s="10" t="str">
        <f aca="false">IF(OR(J9="",L9="",L9=0),"",J9/L9)</f>
        <v/>
      </c>
      <c r="P9" s="6"/>
    </row>
    <row r="10" customFormat="false" ht="15" hidden="false" customHeight="false" outlineLevel="0" collapsed="false">
      <c r="A10" s="5"/>
      <c r="B10" s="6"/>
      <c r="C10" s="6"/>
      <c r="D10" s="6"/>
      <c r="E10" s="6"/>
      <c r="F10" s="6"/>
      <c r="G10" s="6"/>
      <c r="H10" s="6"/>
      <c r="I10" s="7"/>
      <c r="J10" s="8"/>
      <c r="K10" s="6"/>
      <c r="L10" s="9" t="str">
        <f aca="false">IF(OR(E10="",H10=""),"",E10*H10)</f>
        <v/>
      </c>
      <c r="M10" s="10" t="str">
        <f aca="false">IF(OR(J10="",H10="",H10=0),"",J10/H10)</f>
        <v/>
      </c>
      <c r="N10" s="10" t="str">
        <f aca="false">IF(OR(J10="",I10="",I10=0),"",J10/I10)</f>
        <v/>
      </c>
      <c r="O10" s="10" t="str">
        <f aca="false">IF(OR(J10="",L10="",L10=0),"",J10/L10)</f>
        <v/>
      </c>
      <c r="P10" s="6"/>
    </row>
    <row r="11" customFormat="false" ht="15" hidden="false" customHeight="false" outlineLevel="0" collapsed="false">
      <c r="A11" s="5"/>
      <c r="B11" s="6"/>
      <c r="C11" s="6"/>
      <c r="D11" s="6"/>
      <c r="E11" s="6"/>
      <c r="F11" s="6"/>
      <c r="G11" s="6"/>
      <c r="H11" s="6"/>
      <c r="I11" s="7"/>
      <c r="J11" s="8"/>
      <c r="K11" s="6"/>
      <c r="L11" s="9" t="str">
        <f aca="false">IF(OR(E11="",H11=""),"",E11*H11)</f>
        <v/>
      </c>
      <c r="M11" s="10" t="str">
        <f aca="false">IF(OR(J11="",H11="",H11=0),"",J11/H11)</f>
        <v/>
      </c>
      <c r="N11" s="10" t="str">
        <f aca="false">IF(OR(J11="",I11="",I11=0),"",J11/I11)</f>
        <v/>
      </c>
      <c r="O11" s="10" t="str">
        <f aca="false">IF(OR(J11="",L11="",L11=0),"",J11/L11)</f>
        <v/>
      </c>
      <c r="P11" s="6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  <c r="G12" s="6"/>
      <c r="H12" s="6"/>
      <c r="I12" s="7"/>
      <c r="J12" s="8"/>
      <c r="K12" s="6"/>
      <c r="L12" s="9" t="str">
        <f aca="false">IF(OR(E12="",H12=""),"",E12*H12)</f>
        <v/>
      </c>
      <c r="M12" s="10" t="str">
        <f aca="false">IF(OR(J12="",H12="",H12=0),"",J12/H12)</f>
        <v/>
      </c>
      <c r="N12" s="10" t="str">
        <f aca="false">IF(OR(J12="",I12="",I12=0),"",J12/I12)</f>
        <v/>
      </c>
      <c r="O12" s="10" t="str">
        <f aca="false">IF(OR(J12="",L12="",L12=0),"",J12/L12)</f>
        <v/>
      </c>
      <c r="P12" s="6"/>
    </row>
    <row r="13" customFormat="false" ht="15" hidden="false" customHeight="false" outlineLevel="0" collapsed="false">
      <c r="A13" s="5"/>
      <c r="B13" s="6"/>
      <c r="C13" s="6"/>
      <c r="D13" s="6"/>
      <c r="E13" s="6"/>
      <c r="F13" s="6"/>
      <c r="G13" s="6"/>
      <c r="H13" s="6"/>
      <c r="I13" s="7"/>
      <c r="J13" s="8"/>
      <c r="K13" s="6"/>
      <c r="L13" s="9" t="str">
        <f aca="false">IF(OR(E13="",H13=""),"",E13*H13)</f>
        <v/>
      </c>
      <c r="M13" s="10" t="str">
        <f aca="false">IF(OR(J13="",H13="",H13=0),"",J13/H13)</f>
        <v/>
      </c>
      <c r="N13" s="10" t="str">
        <f aca="false">IF(OR(J13="",I13="",I13=0),"",J13/I13)</f>
        <v/>
      </c>
      <c r="O13" s="10" t="str">
        <f aca="false">IF(OR(J13="",L13="",L13=0),"",J13/L13)</f>
        <v/>
      </c>
      <c r="P13" s="6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6"/>
      <c r="H14" s="6"/>
      <c r="I14" s="7"/>
      <c r="J14" s="8"/>
      <c r="K14" s="6"/>
      <c r="L14" s="9" t="str">
        <f aca="false">IF(OR(E14="",H14=""),"",E14*H14)</f>
        <v/>
      </c>
      <c r="M14" s="10" t="str">
        <f aca="false">IF(OR(J14="",H14="",H14=0),"",J14/H14)</f>
        <v/>
      </c>
      <c r="N14" s="10" t="str">
        <f aca="false">IF(OR(J14="",I14="",I14=0),"",J14/I14)</f>
        <v/>
      </c>
      <c r="O14" s="10" t="str">
        <f aca="false">IF(OR(J14="",L14="",L14=0),"",J14/L14)</f>
        <v/>
      </c>
      <c r="P14" s="6"/>
    </row>
    <row r="15" customFormat="false" ht="15" hidden="false" customHeight="false" outlineLevel="0" collapsed="false">
      <c r="A15" s="5"/>
      <c r="B15" s="6"/>
      <c r="C15" s="6"/>
      <c r="D15" s="6"/>
      <c r="E15" s="6"/>
      <c r="F15" s="6"/>
      <c r="G15" s="6"/>
      <c r="H15" s="6"/>
      <c r="I15" s="7"/>
      <c r="J15" s="8"/>
      <c r="K15" s="6"/>
      <c r="L15" s="9" t="str">
        <f aca="false">IF(OR(E15="",H15=""),"",E15*H15)</f>
        <v/>
      </c>
      <c r="M15" s="10" t="str">
        <f aca="false">IF(OR(J15="",H15="",H15=0),"",J15/H15)</f>
        <v/>
      </c>
      <c r="N15" s="10" t="str">
        <f aca="false">IF(OR(J15="",I15="",I15=0),"",J15/I15)</f>
        <v/>
      </c>
      <c r="O15" s="10" t="str">
        <f aca="false">IF(OR(J15="",L15="",L15=0),"",J15/L15)</f>
        <v/>
      </c>
      <c r="P15" s="6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  <c r="G16" s="6"/>
      <c r="H16" s="6"/>
      <c r="I16" s="7"/>
      <c r="J16" s="8"/>
      <c r="K16" s="6"/>
      <c r="L16" s="9" t="str">
        <f aca="false">IF(OR(E16="",H16=""),"",E16*H16)</f>
        <v/>
      </c>
      <c r="M16" s="10" t="str">
        <f aca="false">IF(OR(J16="",H16="",H16=0),"",J16/H16)</f>
        <v/>
      </c>
      <c r="N16" s="10" t="str">
        <f aca="false">IF(OR(J16="",I16="",I16=0),"",J16/I16)</f>
        <v/>
      </c>
      <c r="O16" s="10" t="str">
        <f aca="false">IF(OR(J16="",L16="",L16=0),"",J16/L16)</f>
        <v/>
      </c>
      <c r="P16" s="6"/>
    </row>
    <row r="17" customFormat="false" ht="15" hidden="false" customHeight="false" outlineLevel="0" collapsed="false">
      <c r="A17" s="5"/>
      <c r="B17" s="6"/>
      <c r="C17" s="6"/>
      <c r="D17" s="6"/>
      <c r="E17" s="6"/>
      <c r="F17" s="6"/>
      <c r="G17" s="6"/>
      <c r="H17" s="6"/>
      <c r="I17" s="7"/>
      <c r="J17" s="8"/>
      <c r="K17" s="6"/>
      <c r="L17" s="9" t="str">
        <f aca="false">IF(OR(E17="",H17=""),"",E17*H17)</f>
        <v/>
      </c>
      <c r="M17" s="10" t="str">
        <f aca="false">IF(OR(J17="",H17="",H17=0),"",J17/H17)</f>
        <v/>
      </c>
      <c r="N17" s="10" t="str">
        <f aca="false">IF(OR(J17="",I17="",I17=0),"",J17/I17)</f>
        <v/>
      </c>
      <c r="O17" s="10" t="str">
        <f aca="false">IF(OR(J17="",L17="",L17=0),"",J17/L17)</f>
        <v/>
      </c>
      <c r="P17" s="6"/>
    </row>
    <row r="18" customFormat="false" ht="15" hidden="false" customHeight="false" outlineLevel="0" collapsed="false">
      <c r="A18" s="5"/>
      <c r="B18" s="6"/>
      <c r="C18" s="6"/>
      <c r="D18" s="6"/>
      <c r="E18" s="6"/>
      <c r="F18" s="6"/>
      <c r="G18" s="6"/>
      <c r="H18" s="6"/>
      <c r="I18" s="7"/>
      <c r="J18" s="8"/>
      <c r="K18" s="6"/>
      <c r="L18" s="9" t="str">
        <f aca="false">IF(OR(E18="",H18=""),"",E18*H18)</f>
        <v/>
      </c>
      <c r="M18" s="10" t="str">
        <f aca="false">IF(OR(J18="",H18="",H18=0),"",J18/H18)</f>
        <v/>
      </c>
      <c r="N18" s="10" t="str">
        <f aca="false">IF(OR(J18="",I18="",I18=0),"",J18/I18)</f>
        <v/>
      </c>
      <c r="O18" s="10" t="str">
        <f aca="false">IF(OR(J18="",L18="",L18=0),"",J18/L18)</f>
        <v/>
      </c>
      <c r="P18" s="6"/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  <c r="G19" s="6"/>
      <c r="H19" s="6"/>
      <c r="I19" s="7"/>
      <c r="J19" s="8"/>
      <c r="K19" s="6"/>
      <c r="L19" s="9" t="str">
        <f aca="false">IF(OR(E19="",H19=""),"",E19*H19)</f>
        <v/>
      </c>
      <c r="M19" s="10" t="str">
        <f aca="false">IF(OR(J19="",H19="",H19=0),"",J19/H19)</f>
        <v/>
      </c>
      <c r="N19" s="10" t="str">
        <f aca="false">IF(OR(J19="",I19="",I19=0),"",J19/I19)</f>
        <v/>
      </c>
      <c r="O19" s="10" t="str">
        <f aca="false">IF(OR(J19="",L19="",L19=0),"",J19/L19)</f>
        <v/>
      </c>
      <c r="P19" s="6"/>
    </row>
    <row r="20" customFormat="false" ht="15" hidden="false" customHeight="false" outlineLevel="0" collapsed="false">
      <c r="A20" s="5"/>
      <c r="B20" s="6"/>
      <c r="C20" s="6"/>
      <c r="D20" s="6"/>
      <c r="E20" s="6"/>
      <c r="F20" s="6"/>
      <c r="G20" s="6"/>
      <c r="H20" s="6"/>
      <c r="I20" s="7"/>
      <c r="J20" s="8"/>
      <c r="K20" s="6"/>
      <c r="L20" s="9" t="str">
        <f aca="false">IF(OR(E20="",H20=""),"",E20*H20)</f>
        <v/>
      </c>
      <c r="M20" s="10" t="str">
        <f aca="false">IF(OR(J20="",H20="",H20=0),"",J20/H20)</f>
        <v/>
      </c>
      <c r="N20" s="10" t="str">
        <f aca="false">IF(OR(J20="",I20="",I20=0),"",J20/I20)</f>
        <v/>
      </c>
      <c r="O20" s="10" t="str">
        <f aca="false">IF(OR(J20="",L20="",L20=0),"",J20/L20)</f>
        <v/>
      </c>
      <c r="P20" s="6"/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  <c r="G21" s="6"/>
      <c r="H21" s="6"/>
      <c r="I21" s="7"/>
      <c r="J21" s="8"/>
      <c r="K21" s="6"/>
      <c r="L21" s="9" t="str">
        <f aca="false">IF(OR(E21="",H21=""),"",E21*H21)</f>
        <v/>
      </c>
      <c r="M21" s="10" t="str">
        <f aca="false">IF(OR(J21="",H21="",H21=0),"",J21/H21)</f>
        <v/>
      </c>
      <c r="N21" s="10" t="str">
        <f aca="false">IF(OR(J21="",I21="",I21=0),"",J21/I21)</f>
        <v/>
      </c>
      <c r="O21" s="10" t="str">
        <f aca="false">IF(OR(J21="",L21="",L21=0),"",J21/L21)</f>
        <v/>
      </c>
      <c r="P21" s="6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  <c r="G22" s="6"/>
      <c r="H22" s="6"/>
      <c r="I22" s="7"/>
      <c r="J22" s="8"/>
      <c r="K22" s="6"/>
      <c r="L22" s="9" t="str">
        <f aca="false">IF(OR(E22="",H22=""),"",E22*H22)</f>
        <v/>
      </c>
      <c r="M22" s="10" t="str">
        <f aca="false">IF(OR(J22="",H22="",H22=0),"",J22/H22)</f>
        <v/>
      </c>
      <c r="N22" s="10" t="str">
        <f aca="false">IF(OR(J22="",I22="",I22=0),"",J22/I22)</f>
        <v/>
      </c>
      <c r="O22" s="10" t="str">
        <f aca="false">IF(OR(J22="",L22="",L22=0),"",J22/L22)</f>
        <v/>
      </c>
      <c r="P22" s="6"/>
    </row>
    <row r="23" customFormat="false" ht="15" hidden="false" customHeight="false" outlineLevel="0" collapsed="false">
      <c r="A23" s="5"/>
      <c r="B23" s="6"/>
      <c r="C23" s="6"/>
      <c r="D23" s="6"/>
      <c r="E23" s="6"/>
      <c r="F23" s="6"/>
      <c r="G23" s="6"/>
      <c r="H23" s="6"/>
      <c r="I23" s="7"/>
      <c r="J23" s="8"/>
      <c r="K23" s="6"/>
      <c r="L23" s="9" t="str">
        <f aca="false">IF(OR(E23="",H23=""),"",E23*H23)</f>
        <v/>
      </c>
      <c r="M23" s="10" t="str">
        <f aca="false">IF(OR(J23="",H23="",H23=0),"",J23/H23)</f>
        <v/>
      </c>
      <c r="N23" s="10" t="str">
        <f aca="false">IF(OR(J23="",I23="",I23=0),"",J23/I23)</f>
        <v/>
      </c>
      <c r="O23" s="10" t="str">
        <f aca="false">IF(OR(J23="",L23="",L23=0),"",J23/L23)</f>
        <v/>
      </c>
      <c r="P23" s="6"/>
    </row>
    <row r="24" customFormat="false" ht="15" hidden="false" customHeight="false" outlineLevel="0" collapsed="false">
      <c r="A24" s="5"/>
      <c r="B24" s="6"/>
      <c r="C24" s="6"/>
      <c r="D24" s="6"/>
      <c r="E24" s="6"/>
      <c r="F24" s="6"/>
      <c r="G24" s="6"/>
      <c r="H24" s="6"/>
      <c r="I24" s="7"/>
      <c r="J24" s="8"/>
      <c r="K24" s="6"/>
      <c r="L24" s="9" t="str">
        <f aca="false">IF(OR(E24="",H24=""),"",E24*H24)</f>
        <v/>
      </c>
      <c r="M24" s="10" t="str">
        <f aca="false">IF(OR(J24="",H24="",H24=0),"",J24/H24)</f>
        <v/>
      </c>
      <c r="N24" s="10" t="str">
        <f aca="false">IF(OR(J24="",I24="",I24=0),"",J24/I24)</f>
        <v/>
      </c>
      <c r="O24" s="10" t="str">
        <f aca="false">IF(OR(J24="",L24="",L24=0),"",J24/L24)</f>
        <v/>
      </c>
      <c r="P24" s="6"/>
    </row>
    <row r="25" customFormat="false" ht="15" hidden="false" customHeight="false" outlineLevel="0" collapsed="false">
      <c r="A25" s="5"/>
      <c r="B25" s="6"/>
      <c r="C25" s="6"/>
      <c r="D25" s="6"/>
      <c r="E25" s="6"/>
      <c r="F25" s="6"/>
      <c r="G25" s="6"/>
      <c r="H25" s="6"/>
      <c r="I25" s="7"/>
      <c r="J25" s="8"/>
      <c r="K25" s="6"/>
      <c r="L25" s="9" t="str">
        <f aca="false">IF(OR(E25="",H25=""),"",E25*H25)</f>
        <v/>
      </c>
      <c r="M25" s="10" t="str">
        <f aca="false">IF(OR(J25="",H25="",H25=0),"",J25/H25)</f>
        <v/>
      </c>
      <c r="N25" s="10" t="str">
        <f aca="false">IF(OR(J25="",I25="",I25=0),"",J25/I25)</f>
        <v/>
      </c>
      <c r="O25" s="10" t="str">
        <f aca="false">IF(OR(J25="",L25="",L25=0),"",J25/L25)</f>
        <v/>
      </c>
      <c r="P25" s="6"/>
    </row>
    <row r="26" customFormat="false" ht="15" hidden="false" customHeight="false" outlineLevel="0" collapsed="false">
      <c r="A26" s="5"/>
      <c r="B26" s="6"/>
      <c r="C26" s="6"/>
      <c r="D26" s="6"/>
      <c r="E26" s="6"/>
      <c r="F26" s="6"/>
      <c r="G26" s="6"/>
      <c r="H26" s="6"/>
      <c r="I26" s="7"/>
      <c r="J26" s="8"/>
      <c r="K26" s="6"/>
      <c r="L26" s="9" t="str">
        <f aca="false">IF(OR(E26="",H26=""),"",E26*H26)</f>
        <v/>
      </c>
      <c r="M26" s="10" t="str">
        <f aca="false">IF(OR(J26="",H26="",H26=0),"",J26/H26)</f>
        <v/>
      </c>
      <c r="N26" s="10" t="str">
        <f aca="false">IF(OR(J26="",I26="",I26=0),"",J26/I26)</f>
        <v/>
      </c>
      <c r="O26" s="10" t="str">
        <f aca="false">IF(OR(J26="",L26="",L26=0),"",J26/L26)</f>
        <v/>
      </c>
      <c r="P26" s="6"/>
    </row>
    <row r="27" customFormat="false" ht="15" hidden="false" customHeight="false" outlineLevel="0" collapsed="false">
      <c r="A27" s="5"/>
      <c r="B27" s="6"/>
      <c r="C27" s="6"/>
      <c r="D27" s="6"/>
      <c r="E27" s="6"/>
      <c r="F27" s="6"/>
      <c r="G27" s="6"/>
      <c r="H27" s="6"/>
      <c r="I27" s="7"/>
      <c r="J27" s="8"/>
      <c r="K27" s="6"/>
      <c r="L27" s="9" t="str">
        <f aca="false">IF(OR(E27="",H27=""),"",E27*H27)</f>
        <v/>
      </c>
      <c r="M27" s="10" t="str">
        <f aca="false">IF(OR(J27="",H27="",H27=0),"",J27/H27)</f>
        <v/>
      </c>
      <c r="N27" s="10" t="str">
        <f aca="false">IF(OR(J27="",I27="",I27=0),"",J27/I27)</f>
        <v/>
      </c>
      <c r="O27" s="10" t="str">
        <f aca="false">IF(OR(J27="",L27="",L27=0),"",J27/L27)</f>
        <v/>
      </c>
      <c r="P27" s="6"/>
    </row>
    <row r="28" customFormat="false" ht="15" hidden="false" customHeight="false" outlineLevel="0" collapsed="false">
      <c r="A28" s="5"/>
      <c r="B28" s="6"/>
      <c r="C28" s="6"/>
      <c r="D28" s="6"/>
      <c r="E28" s="6"/>
      <c r="F28" s="6"/>
      <c r="G28" s="6"/>
      <c r="H28" s="6"/>
      <c r="I28" s="7"/>
      <c r="J28" s="8"/>
      <c r="K28" s="6"/>
      <c r="L28" s="9" t="str">
        <f aca="false">IF(OR(E28="",H28=""),"",E28*H28)</f>
        <v/>
      </c>
      <c r="M28" s="10" t="str">
        <f aca="false">IF(OR(J28="",H28="",H28=0),"",J28/H28)</f>
        <v/>
      </c>
      <c r="N28" s="10" t="str">
        <f aca="false">IF(OR(J28="",I28="",I28=0),"",J28/I28)</f>
        <v/>
      </c>
      <c r="O28" s="10" t="str">
        <f aca="false">IF(OR(J28="",L28="",L28=0),"",J28/L28)</f>
        <v/>
      </c>
      <c r="P28" s="6"/>
    </row>
    <row r="29" customFormat="false" ht="15" hidden="false" customHeight="false" outlineLevel="0" collapsed="false">
      <c r="A29" s="5"/>
      <c r="B29" s="6"/>
      <c r="C29" s="6"/>
      <c r="D29" s="6"/>
      <c r="E29" s="6"/>
      <c r="F29" s="6"/>
      <c r="G29" s="6"/>
      <c r="H29" s="6"/>
      <c r="I29" s="7"/>
      <c r="J29" s="8"/>
      <c r="K29" s="6"/>
      <c r="L29" s="9" t="str">
        <f aca="false">IF(OR(E29="",H29=""),"",E29*H29)</f>
        <v/>
      </c>
      <c r="M29" s="10" t="str">
        <f aca="false">IF(OR(J29="",H29="",H29=0),"",J29/H29)</f>
        <v/>
      </c>
      <c r="N29" s="10" t="str">
        <f aca="false">IF(OR(J29="",I29="",I29=0),"",J29/I29)</f>
        <v/>
      </c>
      <c r="O29" s="10" t="str">
        <f aca="false">IF(OR(J29="",L29="",L29=0),"",J29/L29)</f>
        <v/>
      </c>
      <c r="P29" s="6"/>
    </row>
    <row r="30" customFormat="false" ht="15" hidden="false" customHeight="false" outlineLevel="0" collapsed="false">
      <c r="A30" s="5"/>
      <c r="B30" s="6"/>
      <c r="C30" s="6"/>
      <c r="D30" s="6"/>
      <c r="E30" s="6"/>
      <c r="F30" s="6"/>
      <c r="G30" s="6"/>
      <c r="H30" s="6"/>
      <c r="I30" s="7"/>
      <c r="J30" s="8"/>
      <c r="K30" s="6"/>
      <c r="L30" s="9" t="str">
        <f aca="false">IF(OR(E30="",H30=""),"",E30*H30)</f>
        <v/>
      </c>
      <c r="M30" s="10" t="str">
        <f aca="false">IF(OR(J30="",H30="",H30=0),"",J30/H30)</f>
        <v/>
      </c>
      <c r="N30" s="10" t="str">
        <f aca="false">IF(OR(J30="",I30="",I30=0),"",J30/I30)</f>
        <v/>
      </c>
      <c r="O30" s="10" t="str">
        <f aca="false">IF(OR(J30="",L30="",L30=0),"",J30/L30)</f>
        <v/>
      </c>
      <c r="P30" s="6"/>
    </row>
    <row r="31" customFormat="false" ht="15" hidden="false" customHeight="false" outlineLevel="0" collapsed="false">
      <c r="A31" s="5"/>
      <c r="B31" s="6"/>
      <c r="C31" s="6"/>
      <c r="D31" s="6"/>
      <c r="E31" s="6"/>
      <c r="F31" s="6"/>
      <c r="G31" s="6"/>
      <c r="H31" s="6"/>
      <c r="I31" s="7"/>
      <c r="J31" s="8"/>
      <c r="K31" s="6"/>
      <c r="L31" s="9" t="str">
        <f aca="false">IF(OR(E31="",H31=""),"",E31*H31)</f>
        <v/>
      </c>
      <c r="M31" s="10" t="str">
        <f aca="false">IF(OR(J31="",H31="",H31=0),"",J31/H31)</f>
        <v/>
      </c>
      <c r="N31" s="10" t="str">
        <f aca="false">IF(OR(J31="",I31="",I31=0),"",J31/I31)</f>
        <v/>
      </c>
      <c r="O31" s="10" t="str">
        <f aca="false">IF(OR(J31="",L31="",L31=0),"",J31/L31)</f>
        <v/>
      </c>
      <c r="P31" s="6"/>
    </row>
    <row r="32" customFormat="false" ht="15" hidden="false" customHeight="false" outlineLevel="0" collapsed="false">
      <c r="A32" s="5"/>
      <c r="B32" s="6"/>
      <c r="C32" s="6"/>
      <c r="D32" s="6"/>
      <c r="E32" s="6"/>
      <c r="F32" s="6"/>
      <c r="G32" s="6"/>
      <c r="H32" s="6"/>
      <c r="I32" s="7"/>
      <c r="J32" s="8"/>
      <c r="K32" s="6"/>
      <c r="L32" s="9" t="str">
        <f aca="false">IF(OR(E32="",H32=""),"",E32*H32)</f>
        <v/>
      </c>
      <c r="M32" s="10" t="str">
        <f aca="false">IF(OR(J32="",H32="",H32=0),"",J32/H32)</f>
        <v/>
      </c>
      <c r="N32" s="10" t="str">
        <f aca="false">IF(OR(J32="",I32="",I32=0),"",J32/I32)</f>
        <v/>
      </c>
      <c r="O32" s="10" t="str">
        <f aca="false">IF(OR(J32="",L32="",L32=0),"",J32/L32)</f>
        <v/>
      </c>
      <c r="P32" s="6"/>
    </row>
    <row r="33" customFormat="false" ht="15" hidden="false" customHeight="false" outlineLevel="0" collapsed="false">
      <c r="A33" s="5"/>
      <c r="B33" s="6"/>
      <c r="C33" s="6"/>
      <c r="D33" s="6"/>
      <c r="E33" s="6"/>
      <c r="F33" s="6"/>
      <c r="G33" s="6"/>
      <c r="H33" s="6"/>
      <c r="I33" s="7"/>
      <c r="J33" s="8"/>
      <c r="K33" s="6"/>
      <c r="L33" s="9" t="str">
        <f aca="false">IF(OR(E33="",H33=""),"",E33*H33)</f>
        <v/>
      </c>
      <c r="M33" s="10" t="str">
        <f aca="false">IF(OR(J33="",H33="",H33=0),"",J33/H33)</f>
        <v/>
      </c>
      <c r="N33" s="10" t="str">
        <f aca="false">IF(OR(J33="",I33="",I33=0),"",J33/I33)</f>
        <v/>
      </c>
      <c r="O33" s="10" t="str">
        <f aca="false">IF(OR(J33="",L33="",L33=0),"",J33/L33)</f>
        <v/>
      </c>
      <c r="P33" s="6"/>
    </row>
    <row r="34" customFormat="false" ht="15" hidden="false" customHeight="false" outlineLevel="0" collapsed="false">
      <c r="A34" s="5"/>
      <c r="B34" s="6"/>
      <c r="C34" s="6"/>
      <c r="D34" s="6"/>
      <c r="E34" s="6"/>
      <c r="F34" s="6"/>
      <c r="G34" s="6"/>
      <c r="H34" s="6"/>
      <c r="I34" s="7"/>
      <c r="J34" s="8"/>
      <c r="K34" s="6"/>
      <c r="L34" s="9" t="str">
        <f aca="false">IF(OR(E34="",H34=""),"",E34*H34)</f>
        <v/>
      </c>
      <c r="M34" s="10" t="str">
        <f aca="false">IF(OR(J34="",H34="",H34=0),"",J34/H34)</f>
        <v/>
      </c>
      <c r="N34" s="10" t="str">
        <f aca="false">IF(OR(J34="",I34="",I34=0),"",J34/I34)</f>
        <v/>
      </c>
      <c r="O34" s="10" t="str">
        <f aca="false">IF(OR(J34="",L34="",L34=0),"",J34/L34)</f>
        <v/>
      </c>
      <c r="P34" s="6"/>
    </row>
    <row r="35" customFormat="false" ht="15" hidden="false" customHeight="false" outlineLevel="0" collapsed="false">
      <c r="A35" s="5"/>
      <c r="B35" s="6"/>
      <c r="C35" s="6"/>
      <c r="D35" s="6"/>
      <c r="E35" s="6"/>
      <c r="F35" s="6"/>
      <c r="G35" s="6"/>
      <c r="H35" s="6"/>
      <c r="I35" s="7"/>
      <c r="J35" s="8"/>
      <c r="K35" s="6"/>
      <c r="L35" s="9" t="str">
        <f aca="false">IF(OR(E35="",H35=""),"",E35*H35)</f>
        <v/>
      </c>
      <c r="M35" s="10" t="str">
        <f aca="false">IF(OR(J35="",H35="",H35=0),"",J35/H35)</f>
        <v/>
      </c>
      <c r="N35" s="10" t="str">
        <f aca="false">IF(OR(J35="",I35="",I35=0),"",J35/I35)</f>
        <v/>
      </c>
      <c r="O35" s="10" t="str">
        <f aca="false">IF(OR(J35="",L35="",L35=0),"",J35/L35)</f>
        <v/>
      </c>
      <c r="P35" s="6"/>
    </row>
    <row r="36" customFormat="false" ht="15" hidden="false" customHeight="false" outlineLevel="0" collapsed="false">
      <c r="A36" s="5"/>
      <c r="B36" s="6"/>
      <c r="C36" s="6"/>
      <c r="D36" s="6"/>
      <c r="E36" s="6"/>
      <c r="F36" s="6"/>
      <c r="G36" s="6"/>
      <c r="H36" s="6"/>
      <c r="I36" s="7"/>
      <c r="J36" s="8"/>
      <c r="K36" s="6"/>
      <c r="L36" s="9" t="str">
        <f aca="false">IF(OR(E36="",H36=""),"",E36*H36)</f>
        <v/>
      </c>
      <c r="M36" s="10" t="str">
        <f aca="false">IF(OR(J36="",H36="",H36=0),"",J36/H36)</f>
        <v/>
      </c>
      <c r="N36" s="10" t="str">
        <f aca="false">IF(OR(J36="",I36="",I36=0),"",J36/I36)</f>
        <v/>
      </c>
      <c r="O36" s="10" t="str">
        <f aca="false">IF(OR(J36="",L36="",L36=0),"",J36/L36)</f>
        <v/>
      </c>
      <c r="P36" s="6"/>
    </row>
    <row r="37" customFormat="false" ht="15" hidden="false" customHeight="false" outlineLevel="0" collapsed="false">
      <c r="A37" s="5"/>
      <c r="B37" s="6"/>
      <c r="C37" s="6"/>
      <c r="D37" s="6"/>
      <c r="E37" s="6"/>
      <c r="F37" s="6"/>
      <c r="G37" s="6"/>
      <c r="H37" s="6"/>
      <c r="I37" s="7"/>
      <c r="J37" s="8"/>
      <c r="K37" s="6"/>
      <c r="L37" s="9" t="str">
        <f aca="false">IF(OR(E37="",H37=""),"",E37*H37)</f>
        <v/>
      </c>
      <c r="M37" s="10" t="str">
        <f aca="false">IF(OR(J37="",H37="",H37=0),"",J37/H37)</f>
        <v/>
      </c>
      <c r="N37" s="10" t="str">
        <f aca="false">IF(OR(J37="",I37="",I37=0),"",J37/I37)</f>
        <v/>
      </c>
      <c r="O37" s="10" t="str">
        <f aca="false">IF(OR(J37="",L37="",L37=0),"",J37/L37)</f>
        <v/>
      </c>
      <c r="P37" s="6"/>
    </row>
    <row r="38" customFormat="false" ht="15" hidden="false" customHeight="false" outlineLevel="0" collapsed="false">
      <c r="A38" s="5"/>
      <c r="B38" s="6"/>
      <c r="C38" s="6"/>
      <c r="D38" s="6"/>
      <c r="E38" s="6"/>
      <c r="F38" s="6"/>
      <c r="G38" s="6"/>
      <c r="H38" s="6"/>
      <c r="I38" s="7"/>
      <c r="J38" s="8"/>
      <c r="K38" s="6"/>
      <c r="L38" s="9" t="str">
        <f aca="false">IF(OR(E38="",H38=""),"",E38*H38)</f>
        <v/>
      </c>
      <c r="M38" s="10" t="str">
        <f aca="false">IF(OR(J38="",H38="",H38=0),"",J38/H38)</f>
        <v/>
      </c>
      <c r="N38" s="10" t="str">
        <f aca="false">IF(OR(J38="",I38="",I38=0),"",J38/I38)</f>
        <v/>
      </c>
      <c r="O38" s="10" t="str">
        <f aca="false">IF(OR(J38="",L38="",L38=0),"",J38/L38)</f>
        <v/>
      </c>
      <c r="P38" s="6"/>
    </row>
    <row r="39" customFormat="false" ht="15" hidden="false" customHeight="false" outlineLevel="0" collapsed="false">
      <c r="A39" s="5"/>
      <c r="B39" s="6"/>
      <c r="C39" s="6"/>
      <c r="D39" s="6"/>
      <c r="E39" s="6"/>
      <c r="F39" s="6"/>
      <c r="G39" s="6"/>
      <c r="H39" s="6"/>
      <c r="I39" s="7"/>
      <c r="J39" s="8"/>
      <c r="K39" s="6"/>
      <c r="L39" s="9" t="str">
        <f aca="false">IF(OR(E39="",H39=""),"",E39*H39)</f>
        <v/>
      </c>
      <c r="M39" s="10" t="str">
        <f aca="false">IF(OR(J39="",H39="",H39=0),"",J39/H39)</f>
        <v/>
      </c>
      <c r="N39" s="10" t="str">
        <f aca="false">IF(OR(J39="",I39="",I39=0),"",J39/I39)</f>
        <v/>
      </c>
      <c r="O39" s="10" t="str">
        <f aca="false">IF(OR(J39="",L39="",L39=0),"",J39/L39)</f>
        <v/>
      </c>
      <c r="P39" s="6"/>
    </row>
    <row r="40" customFormat="false" ht="15" hidden="false" customHeight="false" outlineLevel="0" collapsed="false">
      <c r="A40" s="5"/>
      <c r="B40" s="6"/>
      <c r="C40" s="6"/>
      <c r="D40" s="6"/>
      <c r="E40" s="6"/>
      <c r="F40" s="6"/>
      <c r="G40" s="6"/>
      <c r="H40" s="6"/>
      <c r="I40" s="7"/>
      <c r="J40" s="8"/>
      <c r="K40" s="6"/>
      <c r="L40" s="9" t="str">
        <f aca="false">IF(OR(E40="",H40=""),"",E40*H40)</f>
        <v/>
      </c>
      <c r="M40" s="10" t="str">
        <f aca="false">IF(OR(J40="",H40="",H40=0),"",J40/H40)</f>
        <v/>
      </c>
      <c r="N40" s="10" t="str">
        <f aca="false">IF(OR(J40="",I40="",I40=0),"",J40/I40)</f>
        <v/>
      </c>
      <c r="O40" s="10" t="str">
        <f aca="false">IF(OR(J40="",L40="",L40=0),"",J40/L40)</f>
        <v/>
      </c>
      <c r="P40" s="6"/>
    </row>
    <row r="41" customFormat="false" ht="15" hidden="false" customHeight="false" outlineLevel="0" collapsed="false">
      <c r="A41" s="5"/>
      <c r="B41" s="6"/>
      <c r="C41" s="6"/>
      <c r="D41" s="6"/>
      <c r="E41" s="6"/>
      <c r="F41" s="6"/>
      <c r="G41" s="6"/>
      <c r="H41" s="6"/>
      <c r="I41" s="7"/>
      <c r="J41" s="8"/>
      <c r="K41" s="6"/>
      <c r="L41" s="9" t="str">
        <f aca="false">IF(OR(E41="",H41=""),"",E41*H41)</f>
        <v/>
      </c>
      <c r="M41" s="10" t="str">
        <f aca="false">IF(OR(J41="",H41="",H41=0),"",J41/H41)</f>
        <v/>
      </c>
      <c r="N41" s="10" t="str">
        <f aca="false">IF(OR(J41="",I41="",I41=0),"",J41/I41)</f>
        <v/>
      </c>
      <c r="O41" s="10" t="str">
        <f aca="false">IF(OR(J41="",L41="",L41=0),"",J41/L41)</f>
        <v/>
      </c>
      <c r="P41" s="6"/>
    </row>
    <row r="42" customFormat="false" ht="15" hidden="false" customHeight="false" outlineLevel="0" collapsed="false">
      <c r="A42" s="5"/>
      <c r="B42" s="6"/>
      <c r="C42" s="6"/>
      <c r="D42" s="6"/>
      <c r="E42" s="6"/>
      <c r="F42" s="6"/>
      <c r="G42" s="6"/>
      <c r="H42" s="6"/>
      <c r="I42" s="7"/>
      <c r="J42" s="8"/>
      <c r="K42" s="6"/>
      <c r="L42" s="9" t="str">
        <f aca="false">IF(OR(E42="",H42=""),"",E42*H42)</f>
        <v/>
      </c>
      <c r="M42" s="10" t="str">
        <f aca="false">IF(OR(J42="",H42="",H42=0),"",J42/H42)</f>
        <v/>
      </c>
      <c r="N42" s="10" t="str">
        <f aca="false">IF(OR(J42="",I42="",I42=0),"",J42/I42)</f>
        <v/>
      </c>
      <c r="O42" s="10" t="str">
        <f aca="false">IF(OR(J42="",L42="",L42=0),"",J42/L42)</f>
        <v/>
      </c>
      <c r="P42" s="6"/>
    </row>
    <row r="43" customFormat="false" ht="15" hidden="false" customHeight="false" outlineLevel="0" collapsed="false">
      <c r="A43" s="5"/>
      <c r="B43" s="6"/>
      <c r="C43" s="6"/>
      <c r="D43" s="6"/>
      <c r="E43" s="6"/>
      <c r="F43" s="6"/>
      <c r="G43" s="6"/>
      <c r="H43" s="6"/>
      <c r="I43" s="7"/>
      <c r="J43" s="8"/>
      <c r="K43" s="6"/>
      <c r="L43" s="9" t="str">
        <f aca="false">IF(OR(E43="",H43=""),"",E43*H43)</f>
        <v/>
      </c>
      <c r="M43" s="10" t="str">
        <f aca="false">IF(OR(J43="",H43="",H43=0),"",J43/H43)</f>
        <v/>
      </c>
      <c r="N43" s="10" t="str">
        <f aca="false">IF(OR(J43="",I43="",I43=0),"",J43/I43)</f>
        <v/>
      </c>
      <c r="O43" s="10" t="str">
        <f aca="false">IF(OR(J43="",L43="",L43=0),"",J43/L43)</f>
        <v/>
      </c>
      <c r="P43" s="6"/>
    </row>
    <row r="44" customFormat="false" ht="15" hidden="false" customHeight="false" outlineLevel="0" collapsed="false">
      <c r="A44" s="5"/>
      <c r="B44" s="6"/>
      <c r="C44" s="6"/>
      <c r="D44" s="6"/>
      <c r="E44" s="6"/>
      <c r="F44" s="6"/>
      <c r="G44" s="6"/>
      <c r="H44" s="6"/>
      <c r="I44" s="7"/>
      <c r="J44" s="8"/>
      <c r="K44" s="6"/>
      <c r="L44" s="9" t="str">
        <f aca="false">IF(OR(E44="",H44=""),"",E44*H44)</f>
        <v/>
      </c>
      <c r="M44" s="10" t="str">
        <f aca="false">IF(OR(J44="",H44="",H44=0),"",J44/H44)</f>
        <v/>
      </c>
      <c r="N44" s="10" t="str">
        <f aca="false">IF(OR(J44="",I44="",I44=0),"",J44/I44)</f>
        <v/>
      </c>
      <c r="O44" s="10" t="str">
        <f aca="false">IF(OR(J44="",L44="",L44=0),"",J44/L44)</f>
        <v/>
      </c>
      <c r="P44" s="6"/>
    </row>
    <row r="45" customFormat="false" ht="15" hidden="false" customHeight="false" outlineLevel="0" collapsed="false">
      <c r="A45" s="5"/>
      <c r="B45" s="6"/>
      <c r="C45" s="6"/>
      <c r="D45" s="6"/>
      <c r="E45" s="6"/>
      <c r="F45" s="6"/>
      <c r="G45" s="6"/>
      <c r="H45" s="6"/>
      <c r="I45" s="7"/>
      <c r="J45" s="8"/>
      <c r="K45" s="6"/>
      <c r="L45" s="9" t="str">
        <f aca="false">IF(OR(E45="",H45=""),"",E45*H45)</f>
        <v/>
      </c>
      <c r="M45" s="10" t="str">
        <f aca="false">IF(OR(J45="",H45="",H45=0),"",J45/H45)</f>
        <v/>
      </c>
      <c r="N45" s="10" t="str">
        <f aca="false">IF(OR(J45="",I45="",I45=0),"",J45/I45)</f>
        <v/>
      </c>
      <c r="O45" s="10" t="str">
        <f aca="false">IF(OR(J45="",L45="",L45=0),"",J45/L45)</f>
        <v/>
      </c>
      <c r="P45" s="6"/>
    </row>
    <row r="46" customFormat="false" ht="15" hidden="false" customHeight="false" outlineLevel="0" collapsed="false">
      <c r="A46" s="5"/>
      <c r="B46" s="6"/>
      <c r="C46" s="6"/>
      <c r="D46" s="6"/>
      <c r="E46" s="6"/>
      <c r="F46" s="6"/>
      <c r="G46" s="6"/>
      <c r="H46" s="6"/>
      <c r="I46" s="7"/>
      <c r="J46" s="8"/>
      <c r="K46" s="6"/>
      <c r="L46" s="9" t="str">
        <f aca="false">IF(OR(E46="",H46=""),"",E46*H46)</f>
        <v/>
      </c>
      <c r="M46" s="10" t="str">
        <f aca="false">IF(OR(J46="",H46="",H46=0),"",J46/H46)</f>
        <v/>
      </c>
      <c r="N46" s="10" t="str">
        <f aca="false">IF(OR(J46="",I46="",I46=0),"",J46/I46)</f>
        <v/>
      </c>
      <c r="O46" s="10" t="str">
        <f aca="false">IF(OR(J46="",L46="",L46=0),"",J46/L46)</f>
        <v/>
      </c>
      <c r="P46" s="6"/>
    </row>
    <row r="47" customFormat="false" ht="15" hidden="false" customHeight="false" outlineLevel="0" collapsed="false">
      <c r="A47" s="5"/>
      <c r="B47" s="6"/>
      <c r="C47" s="6"/>
      <c r="D47" s="6"/>
      <c r="E47" s="6"/>
      <c r="F47" s="6"/>
      <c r="G47" s="6"/>
      <c r="H47" s="6"/>
      <c r="I47" s="7"/>
      <c r="J47" s="8"/>
      <c r="K47" s="6"/>
      <c r="L47" s="9" t="str">
        <f aca="false">IF(OR(E47="",H47=""),"",E47*H47)</f>
        <v/>
      </c>
      <c r="M47" s="10" t="str">
        <f aca="false">IF(OR(J47="",H47="",H47=0),"",J47/H47)</f>
        <v/>
      </c>
      <c r="N47" s="10" t="str">
        <f aca="false">IF(OR(J47="",I47="",I47=0),"",J47/I47)</f>
        <v/>
      </c>
      <c r="O47" s="10" t="str">
        <f aca="false">IF(OR(J47="",L47="",L47=0),"",J47/L47)</f>
        <v/>
      </c>
      <c r="P47" s="6"/>
    </row>
    <row r="48" customFormat="false" ht="15" hidden="false" customHeight="false" outlineLevel="0" collapsed="false">
      <c r="A48" s="5"/>
      <c r="B48" s="6"/>
      <c r="C48" s="6"/>
      <c r="D48" s="6"/>
      <c r="E48" s="6"/>
      <c r="F48" s="6"/>
      <c r="G48" s="6"/>
      <c r="H48" s="6"/>
      <c r="I48" s="7"/>
      <c r="J48" s="8"/>
      <c r="K48" s="6"/>
      <c r="L48" s="9" t="str">
        <f aca="false">IF(OR(E48="",H48=""),"",E48*H48)</f>
        <v/>
      </c>
      <c r="M48" s="10" t="str">
        <f aca="false">IF(OR(J48="",H48="",H48=0),"",J48/H48)</f>
        <v/>
      </c>
      <c r="N48" s="10" t="str">
        <f aca="false">IF(OR(J48="",I48="",I48=0),"",J48/I48)</f>
        <v/>
      </c>
      <c r="O48" s="10" t="str">
        <f aca="false">IF(OR(J48="",L48="",L48=0),"",J48/L48)</f>
        <v/>
      </c>
      <c r="P48" s="6"/>
    </row>
    <row r="49" customFormat="false" ht="15" hidden="false" customHeight="false" outlineLevel="0" collapsed="false">
      <c r="A49" s="5"/>
      <c r="B49" s="6"/>
      <c r="C49" s="6"/>
      <c r="D49" s="6"/>
      <c r="E49" s="6"/>
      <c r="F49" s="6"/>
      <c r="G49" s="6"/>
      <c r="H49" s="6"/>
      <c r="I49" s="7"/>
      <c r="J49" s="8"/>
      <c r="K49" s="6"/>
      <c r="L49" s="9" t="str">
        <f aca="false">IF(OR(E49="",H49=""),"",E49*H49)</f>
        <v/>
      </c>
      <c r="M49" s="10" t="str">
        <f aca="false">IF(OR(J49="",H49="",H49=0),"",J49/H49)</f>
        <v/>
      </c>
      <c r="N49" s="10" t="str">
        <f aca="false">IF(OR(J49="",I49="",I49=0),"",J49/I49)</f>
        <v/>
      </c>
      <c r="O49" s="10" t="str">
        <f aca="false">IF(OR(J49="",L49="",L49=0),"",J49/L49)</f>
        <v/>
      </c>
      <c r="P49" s="6"/>
    </row>
    <row r="50" customFormat="false" ht="15" hidden="false" customHeight="false" outlineLevel="0" collapsed="false">
      <c r="A50" s="5"/>
      <c r="B50" s="6"/>
      <c r="C50" s="6"/>
      <c r="D50" s="6"/>
      <c r="E50" s="6"/>
      <c r="F50" s="6"/>
      <c r="G50" s="6"/>
      <c r="H50" s="6"/>
      <c r="I50" s="7"/>
      <c r="J50" s="8"/>
      <c r="K50" s="6"/>
      <c r="L50" s="9" t="str">
        <f aca="false">IF(OR(E50="",H50=""),"",E50*H50)</f>
        <v/>
      </c>
      <c r="M50" s="10" t="str">
        <f aca="false">IF(OR(J50="",H50="",H50=0),"",J50/H50)</f>
        <v/>
      </c>
      <c r="N50" s="10" t="str">
        <f aca="false">IF(OR(J50="",I50="",I50=0),"",J50/I50)</f>
        <v/>
      </c>
      <c r="O50" s="10" t="str">
        <f aca="false">IF(OR(J50="",L50="",L50=0),"",J50/L50)</f>
        <v/>
      </c>
      <c r="P50" s="6"/>
    </row>
    <row r="51" customFormat="false" ht="15" hidden="false" customHeight="false" outlineLevel="0" collapsed="false">
      <c r="A51" s="5"/>
      <c r="B51" s="6"/>
      <c r="C51" s="6"/>
      <c r="D51" s="6"/>
      <c r="E51" s="6"/>
      <c r="F51" s="6"/>
      <c r="G51" s="6"/>
      <c r="H51" s="6"/>
      <c r="I51" s="7"/>
      <c r="J51" s="8"/>
      <c r="K51" s="6"/>
      <c r="L51" s="9" t="str">
        <f aca="false">IF(OR(E51="",H51=""),"",E51*H51)</f>
        <v/>
      </c>
      <c r="M51" s="10" t="str">
        <f aca="false">IF(OR(J51="",H51="",H51=0),"",J51/H51)</f>
        <v/>
      </c>
      <c r="N51" s="10" t="str">
        <f aca="false">IF(OR(J51="",I51="",I51=0),"",J51/I51)</f>
        <v/>
      </c>
      <c r="O51" s="10" t="str">
        <f aca="false">IF(OR(J51="",L51="",L51=0),"",J51/L51)</f>
        <v/>
      </c>
      <c r="P51" s="6"/>
    </row>
    <row r="52" customFormat="false" ht="15" hidden="false" customHeight="false" outlineLevel="0" collapsed="false">
      <c r="A52" s="5"/>
      <c r="B52" s="6"/>
      <c r="C52" s="6"/>
      <c r="D52" s="6"/>
      <c r="E52" s="6"/>
      <c r="F52" s="6"/>
      <c r="G52" s="6"/>
      <c r="H52" s="6"/>
      <c r="I52" s="7"/>
      <c r="J52" s="8"/>
      <c r="K52" s="6"/>
      <c r="L52" s="9" t="str">
        <f aca="false">IF(OR(E52="",H52=""),"",E52*H52)</f>
        <v/>
      </c>
      <c r="M52" s="10" t="str">
        <f aca="false">IF(OR(J52="",H52="",H52=0),"",J52/H52)</f>
        <v/>
      </c>
      <c r="N52" s="10" t="str">
        <f aca="false">IF(OR(J52="",I52="",I52=0),"",J52/I52)</f>
        <v/>
      </c>
      <c r="O52" s="10" t="str">
        <f aca="false">IF(OR(J52="",L52="",L52=0),"",J52/L52)</f>
        <v/>
      </c>
      <c r="P52" s="6"/>
    </row>
    <row r="53" customFormat="false" ht="15" hidden="false" customHeight="false" outlineLevel="0" collapsed="false">
      <c r="A53" s="5"/>
      <c r="B53" s="6"/>
      <c r="C53" s="6"/>
      <c r="D53" s="6"/>
      <c r="E53" s="6"/>
      <c r="F53" s="6"/>
      <c r="G53" s="6"/>
      <c r="H53" s="6"/>
      <c r="I53" s="7"/>
      <c r="J53" s="8"/>
      <c r="K53" s="6"/>
      <c r="L53" s="9" t="str">
        <f aca="false">IF(OR(E53="",H53=""),"",E53*H53)</f>
        <v/>
      </c>
      <c r="M53" s="10" t="str">
        <f aca="false">IF(OR(J53="",H53="",H53=0),"",J53/H53)</f>
        <v/>
      </c>
      <c r="N53" s="10" t="str">
        <f aca="false">IF(OR(J53="",I53="",I53=0),"",J53/I53)</f>
        <v/>
      </c>
      <c r="O53" s="10" t="str">
        <f aca="false">IF(OR(J53="",L53="",L53=0),"",J53/L53)</f>
        <v/>
      </c>
      <c r="P53" s="6"/>
    </row>
    <row r="54" customFormat="false" ht="15" hidden="false" customHeight="false" outlineLevel="0" collapsed="false">
      <c r="A54" s="5"/>
      <c r="B54" s="6"/>
      <c r="C54" s="6"/>
      <c r="D54" s="6"/>
      <c r="E54" s="6"/>
      <c r="F54" s="6"/>
      <c r="G54" s="6"/>
      <c r="H54" s="6"/>
      <c r="I54" s="7"/>
      <c r="J54" s="8"/>
      <c r="K54" s="6"/>
      <c r="L54" s="9" t="str">
        <f aca="false">IF(OR(E54="",H54=""),"",E54*H54)</f>
        <v/>
      </c>
      <c r="M54" s="10" t="str">
        <f aca="false">IF(OR(J54="",H54="",H54=0),"",J54/H54)</f>
        <v/>
      </c>
      <c r="N54" s="10" t="str">
        <f aca="false">IF(OR(J54="",I54="",I54=0),"",J54/I54)</f>
        <v/>
      </c>
      <c r="O54" s="10" t="str">
        <f aca="false">IF(OR(J54="",L54="",L54=0),"",J54/L54)</f>
        <v/>
      </c>
      <c r="P54" s="6"/>
    </row>
    <row r="55" customFormat="false" ht="15" hidden="false" customHeight="false" outlineLevel="0" collapsed="false">
      <c r="A55" s="5"/>
      <c r="B55" s="6"/>
      <c r="C55" s="6"/>
      <c r="D55" s="6"/>
      <c r="E55" s="6"/>
      <c r="F55" s="6"/>
      <c r="G55" s="6"/>
      <c r="H55" s="6"/>
      <c r="I55" s="7"/>
      <c r="J55" s="8"/>
      <c r="K55" s="6"/>
      <c r="L55" s="9" t="str">
        <f aca="false">IF(OR(E55="",H55=""),"",E55*H55)</f>
        <v/>
      </c>
      <c r="M55" s="10" t="str">
        <f aca="false">IF(OR(J55="",H55="",H55=0),"",J55/H55)</f>
        <v/>
      </c>
      <c r="N55" s="10" t="str">
        <f aca="false">IF(OR(J55="",I55="",I55=0),"",J55/I55)</f>
        <v/>
      </c>
      <c r="O55" s="10" t="str">
        <f aca="false">IF(OR(J55="",L55="",L55=0),"",J55/L55)</f>
        <v/>
      </c>
      <c r="P55" s="6"/>
    </row>
    <row r="56" customFormat="false" ht="15" hidden="false" customHeight="false" outlineLevel="0" collapsed="false">
      <c r="A56" s="5"/>
      <c r="B56" s="6"/>
      <c r="C56" s="6"/>
      <c r="D56" s="6"/>
      <c r="E56" s="6"/>
      <c r="F56" s="6"/>
      <c r="G56" s="6"/>
      <c r="H56" s="6"/>
      <c r="I56" s="7"/>
      <c r="J56" s="8"/>
      <c r="K56" s="6"/>
      <c r="L56" s="9" t="str">
        <f aca="false">IF(OR(E56="",H56=""),"",E56*H56)</f>
        <v/>
      </c>
      <c r="M56" s="10" t="str">
        <f aca="false">IF(OR(J56="",H56="",H56=0),"",J56/H56)</f>
        <v/>
      </c>
      <c r="N56" s="10" t="str">
        <f aca="false">IF(OR(J56="",I56="",I56=0),"",J56/I56)</f>
        <v/>
      </c>
      <c r="O56" s="10" t="str">
        <f aca="false">IF(OR(J56="",L56="",L56=0),"",J56/L56)</f>
        <v/>
      </c>
      <c r="P56" s="6"/>
    </row>
    <row r="57" customFormat="false" ht="15" hidden="false" customHeight="false" outlineLevel="0" collapsed="false">
      <c r="A57" s="5"/>
      <c r="B57" s="6"/>
      <c r="C57" s="6"/>
      <c r="D57" s="6"/>
      <c r="E57" s="6"/>
      <c r="F57" s="6"/>
      <c r="G57" s="6"/>
      <c r="H57" s="6"/>
      <c r="I57" s="7"/>
      <c r="J57" s="8"/>
      <c r="K57" s="6"/>
      <c r="L57" s="9" t="str">
        <f aca="false">IF(OR(E57="",H57=""),"",E57*H57)</f>
        <v/>
      </c>
      <c r="M57" s="10" t="str">
        <f aca="false">IF(OR(J57="",H57="",H57=0),"",J57/H57)</f>
        <v/>
      </c>
      <c r="N57" s="10" t="str">
        <f aca="false">IF(OR(J57="",I57="",I57=0),"",J57/I57)</f>
        <v/>
      </c>
      <c r="O57" s="10" t="str">
        <f aca="false">IF(OR(J57="",L57="",L57=0),"",J57/L57)</f>
        <v/>
      </c>
      <c r="P57" s="6"/>
    </row>
    <row r="58" customFormat="false" ht="15" hidden="false" customHeight="false" outlineLevel="0" collapsed="false">
      <c r="A58" s="5"/>
      <c r="B58" s="6"/>
      <c r="C58" s="6"/>
      <c r="D58" s="6"/>
      <c r="E58" s="6"/>
      <c r="F58" s="6"/>
      <c r="G58" s="6"/>
      <c r="H58" s="6"/>
      <c r="I58" s="7"/>
      <c r="J58" s="8"/>
      <c r="K58" s="6"/>
      <c r="L58" s="9" t="str">
        <f aca="false">IF(OR(E58="",H58=""),"",E58*H58)</f>
        <v/>
      </c>
      <c r="M58" s="10" t="str">
        <f aca="false">IF(OR(J58="",H58="",H58=0),"",J58/H58)</f>
        <v/>
      </c>
      <c r="N58" s="10" t="str">
        <f aca="false">IF(OR(J58="",I58="",I58=0),"",J58/I58)</f>
        <v/>
      </c>
      <c r="O58" s="10" t="str">
        <f aca="false">IF(OR(J58="",L58="",L58=0),"",J58/L58)</f>
        <v/>
      </c>
      <c r="P58" s="6"/>
    </row>
    <row r="59" customFormat="false" ht="15" hidden="false" customHeight="false" outlineLevel="0" collapsed="false">
      <c r="A59" s="5"/>
      <c r="B59" s="6"/>
      <c r="C59" s="6"/>
      <c r="D59" s="6"/>
      <c r="E59" s="6"/>
      <c r="F59" s="6"/>
      <c r="G59" s="6"/>
      <c r="H59" s="6"/>
      <c r="I59" s="7"/>
      <c r="J59" s="8"/>
      <c r="K59" s="6"/>
      <c r="L59" s="9" t="str">
        <f aca="false">IF(OR(E59="",H59=""),"",E59*H59)</f>
        <v/>
      </c>
      <c r="M59" s="10" t="str">
        <f aca="false">IF(OR(J59="",H59="",H59=0),"",J59/H59)</f>
        <v/>
      </c>
      <c r="N59" s="10" t="str">
        <f aca="false">IF(OR(J59="",I59="",I59=0),"",J59/I59)</f>
        <v/>
      </c>
      <c r="O59" s="10" t="str">
        <f aca="false">IF(OR(J59="",L59="",L59=0),"",J59/L59)</f>
        <v/>
      </c>
      <c r="P59" s="6"/>
    </row>
    <row r="60" customFormat="false" ht="15" hidden="false" customHeight="false" outlineLevel="0" collapsed="false">
      <c r="A60" s="5"/>
      <c r="B60" s="6"/>
      <c r="C60" s="6"/>
      <c r="D60" s="6"/>
      <c r="E60" s="6"/>
      <c r="F60" s="6"/>
      <c r="G60" s="6"/>
      <c r="H60" s="6"/>
      <c r="I60" s="7"/>
      <c r="J60" s="8"/>
      <c r="K60" s="6"/>
      <c r="L60" s="9" t="str">
        <f aca="false">IF(OR(E60="",H60=""),"",E60*H60)</f>
        <v/>
      </c>
      <c r="M60" s="10" t="str">
        <f aca="false">IF(OR(J60="",H60="",H60=0),"",J60/H60)</f>
        <v/>
      </c>
      <c r="N60" s="10" t="str">
        <f aca="false">IF(OR(J60="",I60="",I60=0),"",J60/I60)</f>
        <v/>
      </c>
      <c r="O60" s="10" t="str">
        <f aca="false">IF(OR(J60="",L60="",L60=0),"",J60/L60)</f>
        <v/>
      </c>
      <c r="P60" s="6"/>
    </row>
    <row r="61" customFormat="false" ht="15" hidden="false" customHeight="false" outlineLevel="0" collapsed="false">
      <c r="A61" s="5"/>
      <c r="B61" s="6"/>
      <c r="C61" s="6"/>
      <c r="D61" s="6"/>
      <c r="E61" s="6"/>
      <c r="F61" s="6"/>
      <c r="G61" s="6"/>
      <c r="H61" s="6"/>
      <c r="I61" s="7"/>
      <c r="J61" s="8"/>
      <c r="K61" s="6"/>
      <c r="L61" s="9" t="str">
        <f aca="false">IF(OR(E61="",H61=""),"",E61*H61)</f>
        <v/>
      </c>
      <c r="M61" s="10" t="str">
        <f aca="false">IF(OR(J61="",H61="",H61=0),"",J61/H61)</f>
        <v/>
      </c>
      <c r="N61" s="10" t="str">
        <f aca="false">IF(OR(J61="",I61="",I61=0),"",J61/I61)</f>
        <v/>
      </c>
      <c r="O61" s="10" t="str">
        <f aca="false">IF(OR(J61="",L61="",L61=0),"",J61/L61)</f>
        <v/>
      </c>
      <c r="P61" s="6"/>
    </row>
    <row r="62" customFormat="false" ht="15" hidden="false" customHeight="false" outlineLevel="0" collapsed="false">
      <c r="A62" s="5"/>
      <c r="B62" s="6"/>
      <c r="C62" s="6"/>
      <c r="D62" s="6"/>
      <c r="E62" s="6"/>
      <c r="F62" s="6"/>
      <c r="G62" s="6"/>
      <c r="H62" s="6"/>
      <c r="I62" s="7"/>
      <c r="J62" s="8"/>
      <c r="K62" s="6"/>
      <c r="L62" s="9" t="str">
        <f aca="false">IF(OR(E62="",H62=""),"",E62*H62)</f>
        <v/>
      </c>
      <c r="M62" s="10" t="str">
        <f aca="false">IF(OR(J62="",H62="",H62=0),"",J62/H62)</f>
        <v/>
      </c>
      <c r="N62" s="10" t="str">
        <f aca="false">IF(OR(J62="",I62="",I62=0),"",J62/I62)</f>
        <v/>
      </c>
      <c r="O62" s="10" t="str">
        <f aca="false">IF(OR(J62="",L62="",L62=0),"",J62/L62)</f>
        <v/>
      </c>
      <c r="P62" s="6"/>
    </row>
    <row r="63" customFormat="false" ht="15" hidden="false" customHeight="false" outlineLevel="0" collapsed="false">
      <c r="A63" s="5"/>
      <c r="B63" s="6"/>
      <c r="C63" s="6"/>
      <c r="D63" s="6"/>
      <c r="E63" s="6"/>
      <c r="F63" s="6"/>
      <c r="G63" s="6"/>
      <c r="H63" s="6"/>
      <c r="I63" s="7"/>
      <c r="J63" s="8"/>
      <c r="K63" s="6"/>
      <c r="L63" s="9" t="str">
        <f aca="false">IF(OR(E63="",H63=""),"",E63*H63)</f>
        <v/>
      </c>
      <c r="M63" s="10" t="str">
        <f aca="false">IF(OR(J63="",H63="",H63=0),"",J63/H63)</f>
        <v/>
      </c>
      <c r="N63" s="10" t="str">
        <f aca="false">IF(OR(J63="",I63="",I63=0),"",J63/I63)</f>
        <v/>
      </c>
      <c r="O63" s="10" t="str">
        <f aca="false">IF(OR(J63="",L63="",L63=0),"",J63/L63)</f>
        <v/>
      </c>
      <c r="P63" s="6"/>
    </row>
    <row r="64" customFormat="false" ht="15" hidden="false" customHeight="false" outlineLevel="0" collapsed="false">
      <c r="A64" s="5"/>
      <c r="B64" s="6"/>
      <c r="C64" s="6"/>
      <c r="D64" s="6"/>
      <c r="E64" s="6"/>
      <c r="F64" s="6"/>
      <c r="G64" s="6"/>
      <c r="H64" s="6"/>
      <c r="I64" s="7"/>
      <c r="J64" s="8"/>
      <c r="K64" s="6"/>
      <c r="L64" s="9" t="str">
        <f aca="false">IF(OR(E64="",H64=""),"",E64*H64)</f>
        <v/>
      </c>
      <c r="M64" s="10" t="str">
        <f aca="false">IF(OR(J64="",H64="",H64=0),"",J64/H64)</f>
        <v/>
      </c>
      <c r="N64" s="10" t="str">
        <f aca="false">IF(OR(J64="",I64="",I64=0),"",J64/I64)</f>
        <v/>
      </c>
      <c r="O64" s="10" t="str">
        <f aca="false">IF(OR(J64="",L64="",L64=0),"",J64/L64)</f>
        <v/>
      </c>
      <c r="P64" s="6"/>
    </row>
    <row r="65" customFormat="false" ht="15" hidden="false" customHeight="false" outlineLevel="0" collapsed="false">
      <c r="A65" s="5"/>
      <c r="B65" s="6"/>
      <c r="C65" s="6"/>
      <c r="D65" s="6"/>
      <c r="E65" s="6"/>
      <c r="F65" s="6"/>
      <c r="G65" s="6"/>
      <c r="H65" s="6"/>
      <c r="I65" s="7"/>
      <c r="J65" s="8"/>
      <c r="K65" s="6"/>
      <c r="L65" s="9" t="str">
        <f aca="false">IF(OR(E65="",H65=""),"",E65*H65)</f>
        <v/>
      </c>
      <c r="M65" s="10" t="str">
        <f aca="false">IF(OR(J65="",H65="",H65=0),"",J65/H65)</f>
        <v/>
      </c>
      <c r="N65" s="10" t="str">
        <f aca="false">IF(OR(J65="",I65="",I65=0),"",J65/I65)</f>
        <v/>
      </c>
      <c r="O65" s="10" t="str">
        <f aca="false">IF(OR(J65="",L65="",L65=0),"",J65/L65)</f>
        <v/>
      </c>
      <c r="P65" s="6"/>
    </row>
    <row r="66" customFormat="false" ht="15" hidden="false" customHeight="false" outlineLevel="0" collapsed="false">
      <c r="A66" s="5"/>
      <c r="B66" s="6"/>
      <c r="C66" s="6"/>
      <c r="D66" s="6"/>
      <c r="E66" s="6"/>
      <c r="F66" s="6"/>
      <c r="G66" s="6"/>
      <c r="H66" s="6"/>
      <c r="I66" s="7"/>
      <c r="J66" s="8"/>
      <c r="K66" s="6"/>
      <c r="L66" s="9" t="str">
        <f aca="false">IF(OR(E66="",H66=""),"",E66*H66)</f>
        <v/>
      </c>
      <c r="M66" s="10" t="str">
        <f aca="false">IF(OR(J66="",H66="",H66=0),"",J66/H66)</f>
        <v/>
      </c>
      <c r="N66" s="10" t="str">
        <f aca="false">IF(OR(J66="",I66="",I66=0),"",J66/I66)</f>
        <v/>
      </c>
      <c r="O66" s="10" t="str">
        <f aca="false">IF(OR(J66="",L66="",L66=0),"",J66/L66)</f>
        <v/>
      </c>
      <c r="P66" s="6"/>
    </row>
    <row r="67" customFormat="false" ht="15" hidden="false" customHeight="false" outlineLevel="0" collapsed="false">
      <c r="A67" s="5"/>
      <c r="B67" s="6"/>
      <c r="C67" s="6"/>
      <c r="D67" s="6"/>
      <c r="E67" s="6"/>
      <c r="F67" s="6"/>
      <c r="G67" s="6"/>
      <c r="H67" s="6"/>
      <c r="I67" s="7"/>
      <c r="J67" s="8"/>
      <c r="K67" s="6"/>
      <c r="L67" s="9" t="str">
        <f aca="false">IF(OR(E67="",H67=""),"",E67*H67)</f>
        <v/>
      </c>
      <c r="M67" s="10" t="str">
        <f aca="false">IF(OR(J67="",H67="",H67=0),"",J67/H67)</f>
        <v/>
      </c>
      <c r="N67" s="10" t="str">
        <f aca="false">IF(OR(J67="",I67="",I67=0),"",J67/I67)</f>
        <v/>
      </c>
      <c r="O67" s="10" t="str">
        <f aca="false">IF(OR(J67="",L67="",L67=0),"",J67/L67)</f>
        <v/>
      </c>
      <c r="P67" s="6"/>
    </row>
    <row r="68" customFormat="false" ht="15" hidden="false" customHeight="false" outlineLevel="0" collapsed="false">
      <c r="A68" s="5"/>
      <c r="B68" s="6"/>
      <c r="C68" s="6"/>
      <c r="D68" s="6"/>
      <c r="E68" s="6"/>
      <c r="F68" s="6"/>
      <c r="G68" s="6"/>
      <c r="H68" s="6"/>
      <c r="I68" s="7"/>
      <c r="J68" s="8"/>
      <c r="K68" s="6"/>
      <c r="L68" s="9" t="str">
        <f aca="false">IF(OR(E68="",H68=""),"",E68*H68)</f>
        <v/>
      </c>
      <c r="M68" s="10" t="str">
        <f aca="false">IF(OR(J68="",H68="",H68=0),"",J68/H68)</f>
        <v/>
      </c>
      <c r="N68" s="10" t="str">
        <f aca="false">IF(OR(J68="",I68="",I68=0),"",J68/I68)</f>
        <v/>
      </c>
      <c r="O68" s="10" t="str">
        <f aca="false">IF(OR(J68="",L68="",L68=0),"",J68/L68)</f>
        <v/>
      </c>
      <c r="P68" s="6"/>
    </row>
    <row r="69" customFormat="false" ht="15" hidden="false" customHeight="false" outlineLevel="0" collapsed="false">
      <c r="A69" s="5"/>
      <c r="B69" s="6"/>
      <c r="C69" s="6"/>
      <c r="D69" s="6"/>
      <c r="E69" s="6"/>
      <c r="F69" s="6"/>
      <c r="G69" s="6"/>
      <c r="H69" s="6"/>
      <c r="I69" s="7"/>
      <c r="J69" s="8"/>
      <c r="K69" s="6"/>
      <c r="L69" s="9" t="str">
        <f aca="false">IF(OR(E69="",H69=""),"",E69*H69)</f>
        <v/>
      </c>
      <c r="M69" s="10" t="str">
        <f aca="false">IF(OR(J69="",H69="",H69=0),"",J69/H69)</f>
        <v/>
      </c>
      <c r="N69" s="10" t="str">
        <f aca="false">IF(OR(J69="",I69="",I69=0),"",J69/I69)</f>
        <v/>
      </c>
      <c r="O69" s="10" t="str">
        <f aca="false">IF(OR(J69="",L69="",L69=0),"",J69/L69)</f>
        <v/>
      </c>
      <c r="P69" s="6"/>
    </row>
    <row r="70" customFormat="false" ht="1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7"/>
      <c r="J70" s="8"/>
      <c r="K70" s="6"/>
      <c r="L70" s="9" t="str">
        <f aca="false">IF(OR(E70="",H70=""),"",E70*H70)</f>
        <v/>
      </c>
      <c r="M70" s="10" t="str">
        <f aca="false">IF(OR(J70="",H70="",H70=0),"",J70/H70)</f>
        <v/>
      </c>
      <c r="N70" s="10" t="str">
        <f aca="false">IF(OR(J70="",I70="",I70=0),"",J70/I70)</f>
        <v/>
      </c>
      <c r="O70" s="10" t="str">
        <f aca="false">IF(OR(J70="",L70="",L70=0),"",J70/L70)</f>
        <v/>
      </c>
      <c r="P70" s="6"/>
    </row>
    <row r="71" customFormat="false" ht="1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7"/>
      <c r="J71" s="8"/>
      <c r="K71" s="6"/>
      <c r="L71" s="9" t="str">
        <f aca="false">IF(OR(E71="",H71=""),"",E71*H71)</f>
        <v/>
      </c>
      <c r="M71" s="10" t="str">
        <f aca="false">IF(OR(J71="",H71="",H71=0),"",J71/H71)</f>
        <v/>
      </c>
      <c r="N71" s="10" t="str">
        <f aca="false">IF(OR(J71="",I71="",I71=0),"",J71/I71)</f>
        <v/>
      </c>
      <c r="O71" s="10" t="str">
        <f aca="false">IF(OR(J71="",L71="",L71=0),"",J71/L71)</f>
        <v/>
      </c>
      <c r="P71" s="6"/>
    </row>
    <row r="72" customFormat="false" ht="15" hidden="false" customHeight="false" outlineLevel="0" collapsed="false">
      <c r="A72" s="5"/>
      <c r="B72" s="6"/>
      <c r="C72" s="6"/>
      <c r="D72" s="6"/>
      <c r="E72" s="6"/>
      <c r="F72" s="6"/>
      <c r="G72" s="6"/>
      <c r="H72" s="6"/>
      <c r="I72" s="7"/>
      <c r="J72" s="8"/>
      <c r="K72" s="6"/>
      <c r="L72" s="9" t="str">
        <f aca="false">IF(OR(E72="",H72=""),"",E72*H72)</f>
        <v/>
      </c>
      <c r="M72" s="10" t="str">
        <f aca="false">IF(OR(J72="",H72="",H72=0),"",J72/H72)</f>
        <v/>
      </c>
      <c r="N72" s="10" t="str">
        <f aca="false">IF(OR(J72="",I72="",I72=0),"",J72/I72)</f>
        <v/>
      </c>
      <c r="O72" s="10" t="str">
        <f aca="false">IF(OR(J72="",L72="",L72=0),"",J72/L72)</f>
        <v/>
      </c>
      <c r="P72" s="6"/>
    </row>
    <row r="73" customFormat="false" ht="15" hidden="false" customHeight="false" outlineLevel="0" collapsed="false">
      <c r="A73" s="5"/>
      <c r="B73" s="6"/>
      <c r="C73" s="6"/>
      <c r="D73" s="6"/>
      <c r="E73" s="6"/>
      <c r="F73" s="6"/>
      <c r="G73" s="6"/>
      <c r="H73" s="6"/>
      <c r="I73" s="7"/>
      <c r="J73" s="8"/>
      <c r="K73" s="6"/>
      <c r="L73" s="9" t="str">
        <f aca="false">IF(OR(E73="",H73=""),"",E73*H73)</f>
        <v/>
      </c>
      <c r="M73" s="10" t="str">
        <f aca="false">IF(OR(J73="",H73="",H73=0),"",J73/H73)</f>
        <v/>
      </c>
      <c r="N73" s="10" t="str">
        <f aca="false">IF(OR(J73="",I73="",I73=0),"",J73/I73)</f>
        <v/>
      </c>
      <c r="O73" s="10" t="str">
        <f aca="false">IF(OR(J73="",L73="",L73=0),"",J73/L73)</f>
        <v/>
      </c>
      <c r="P73" s="6"/>
    </row>
    <row r="74" customFormat="false" ht="15" hidden="false" customHeight="false" outlineLevel="0" collapsed="false">
      <c r="A74" s="5"/>
      <c r="B74" s="6"/>
      <c r="C74" s="6"/>
      <c r="D74" s="6"/>
      <c r="E74" s="6"/>
      <c r="F74" s="6"/>
      <c r="G74" s="6"/>
      <c r="H74" s="6"/>
      <c r="I74" s="7"/>
      <c r="J74" s="8"/>
      <c r="K74" s="6"/>
      <c r="L74" s="9" t="str">
        <f aca="false">IF(OR(E74="",H74=""),"",E74*H74)</f>
        <v/>
      </c>
      <c r="M74" s="10" t="str">
        <f aca="false">IF(OR(J74="",H74="",H74=0),"",J74/H74)</f>
        <v/>
      </c>
      <c r="N74" s="10" t="str">
        <f aca="false">IF(OR(J74="",I74="",I74=0),"",J74/I74)</f>
        <v/>
      </c>
      <c r="O74" s="10" t="str">
        <f aca="false">IF(OR(J74="",L74="",L74=0),"",J74/L74)</f>
        <v/>
      </c>
      <c r="P74" s="6"/>
    </row>
    <row r="75" customFormat="false" ht="15" hidden="false" customHeight="false" outlineLevel="0" collapsed="false">
      <c r="A75" s="5"/>
      <c r="B75" s="6"/>
      <c r="C75" s="6"/>
      <c r="D75" s="6"/>
      <c r="E75" s="6"/>
      <c r="F75" s="6"/>
      <c r="G75" s="6"/>
      <c r="H75" s="6"/>
      <c r="I75" s="7"/>
      <c r="J75" s="8"/>
      <c r="K75" s="6"/>
      <c r="L75" s="9" t="str">
        <f aca="false">IF(OR(E75="",H75=""),"",E75*H75)</f>
        <v/>
      </c>
      <c r="M75" s="10" t="str">
        <f aca="false">IF(OR(J75="",H75="",H75=0),"",J75/H75)</f>
        <v/>
      </c>
      <c r="N75" s="10" t="str">
        <f aca="false">IF(OR(J75="",I75="",I75=0),"",J75/I75)</f>
        <v/>
      </c>
      <c r="O75" s="10" t="str">
        <f aca="false">IF(OR(J75="",L75="",L75=0),"",J75/L75)</f>
        <v/>
      </c>
      <c r="P75" s="6"/>
    </row>
    <row r="76" customFormat="false" ht="15" hidden="false" customHeight="false" outlineLevel="0" collapsed="false">
      <c r="A76" s="5"/>
      <c r="B76" s="6"/>
      <c r="C76" s="6"/>
      <c r="D76" s="6"/>
      <c r="E76" s="6"/>
      <c r="F76" s="6"/>
      <c r="G76" s="6"/>
      <c r="H76" s="6"/>
      <c r="I76" s="7"/>
      <c r="J76" s="8"/>
      <c r="K76" s="6"/>
      <c r="L76" s="9" t="str">
        <f aca="false">IF(OR(E76="",H76=""),"",E76*H76)</f>
        <v/>
      </c>
      <c r="M76" s="10" t="str">
        <f aca="false">IF(OR(J76="",H76="",H76=0),"",J76/H76)</f>
        <v/>
      </c>
      <c r="N76" s="10" t="str">
        <f aca="false">IF(OR(J76="",I76="",I76=0),"",J76/I76)</f>
        <v/>
      </c>
      <c r="O76" s="10" t="str">
        <f aca="false">IF(OR(J76="",L76="",L76=0),"",J76/L76)</f>
        <v/>
      </c>
      <c r="P76" s="6"/>
    </row>
    <row r="77" customFormat="false" ht="15" hidden="false" customHeight="false" outlineLevel="0" collapsed="false">
      <c r="A77" s="5"/>
      <c r="B77" s="6"/>
      <c r="C77" s="6"/>
      <c r="D77" s="6"/>
      <c r="E77" s="6"/>
      <c r="F77" s="6"/>
      <c r="G77" s="6"/>
      <c r="H77" s="6"/>
      <c r="I77" s="7"/>
      <c r="J77" s="8"/>
      <c r="K77" s="6"/>
      <c r="L77" s="9" t="str">
        <f aca="false">IF(OR(E77="",H77=""),"",E77*H77)</f>
        <v/>
      </c>
      <c r="M77" s="10" t="str">
        <f aca="false">IF(OR(J77="",H77="",H77=0),"",J77/H77)</f>
        <v/>
      </c>
      <c r="N77" s="10" t="str">
        <f aca="false">IF(OR(J77="",I77="",I77=0),"",J77/I77)</f>
        <v/>
      </c>
      <c r="O77" s="10" t="str">
        <f aca="false">IF(OR(J77="",L77="",L77=0),"",J77/L77)</f>
        <v/>
      </c>
      <c r="P77" s="6"/>
    </row>
    <row r="78" customFormat="false" ht="15" hidden="false" customHeight="false" outlineLevel="0" collapsed="false">
      <c r="A78" s="5"/>
      <c r="B78" s="6"/>
      <c r="C78" s="6"/>
      <c r="D78" s="6"/>
      <c r="E78" s="6"/>
      <c r="F78" s="6"/>
      <c r="G78" s="6"/>
      <c r="H78" s="6"/>
      <c r="I78" s="7"/>
      <c r="J78" s="8"/>
      <c r="K78" s="6"/>
      <c r="L78" s="9" t="str">
        <f aca="false">IF(OR(E78="",H78=""),"",E78*H78)</f>
        <v/>
      </c>
      <c r="M78" s="10" t="str">
        <f aca="false">IF(OR(J78="",H78="",H78=0),"",J78/H78)</f>
        <v/>
      </c>
      <c r="N78" s="10" t="str">
        <f aca="false">IF(OR(J78="",I78="",I78=0),"",J78/I78)</f>
        <v/>
      </c>
      <c r="O78" s="10" t="str">
        <f aca="false">IF(OR(J78="",L78="",L78=0),"",J78/L78)</f>
        <v/>
      </c>
      <c r="P78" s="6"/>
    </row>
    <row r="79" customFormat="false" ht="15" hidden="false" customHeight="false" outlineLevel="0" collapsed="false">
      <c r="A79" s="5"/>
      <c r="B79" s="6"/>
      <c r="C79" s="6"/>
      <c r="D79" s="6"/>
      <c r="E79" s="6"/>
      <c r="F79" s="6"/>
      <c r="G79" s="6"/>
      <c r="H79" s="6"/>
      <c r="I79" s="7"/>
      <c r="J79" s="8"/>
      <c r="K79" s="6"/>
      <c r="L79" s="9" t="str">
        <f aca="false">IF(OR(E79="",H79=""),"",E79*H79)</f>
        <v/>
      </c>
      <c r="M79" s="10" t="str">
        <f aca="false">IF(OR(J79="",H79="",H79=0),"",J79/H79)</f>
        <v/>
      </c>
      <c r="N79" s="10" t="str">
        <f aca="false">IF(OR(J79="",I79="",I79=0),"",J79/I79)</f>
        <v/>
      </c>
      <c r="O79" s="10" t="str">
        <f aca="false">IF(OR(J79="",L79="",L79=0),"",J79/L79)</f>
        <v/>
      </c>
      <c r="P79" s="6"/>
    </row>
    <row r="80" customFormat="false" ht="15" hidden="false" customHeight="false" outlineLevel="0" collapsed="false">
      <c r="A80" s="5"/>
      <c r="B80" s="6"/>
      <c r="C80" s="6"/>
      <c r="D80" s="6"/>
      <c r="E80" s="6"/>
      <c r="F80" s="6"/>
      <c r="G80" s="6"/>
      <c r="H80" s="6"/>
      <c r="I80" s="7"/>
      <c r="J80" s="8"/>
      <c r="K80" s="6"/>
      <c r="L80" s="9" t="str">
        <f aca="false">IF(OR(E80="",H80=""),"",E80*H80)</f>
        <v/>
      </c>
      <c r="M80" s="10" t="str">
        <f aca="false">IF(OR(J80="",H80="",H80=0),"",J80/H80)</f>
        <v/>
      </c>
      <c r="N80" s="10" t="str">
        <f aca="false">IF(OR(J80="",I80="",I80=0),"",J80/I80)</f>
        <v/>
      </c>
      <c r="O80" s="10" t="str">
        <f aca="false">IF(OR(J80="",L80="",L80=0),"",J80/L80)</f>
        <v/>
      </c>
      <c r="P80" s="6"/>
    </row>
    <row r="81" customFormat="false" ht="15" hidden="false" customHeight="false" outlineLevel="0" collapsed="false">
      <c r="A81" s="5"/>
      <c r="B81" s="6"/>
      <c r="C81" s="6"/>
      <c r="D81" s="6"/>
      <c r="E81" s="6"/>
      <c r="F81" s="6"/>
      <c r="G81" s="6"/>
      <c r="H81" s="6"/>
      <c r="I81" s="7"/>
      <c r="J81" s="8"/>
      <c r="K81" s="6"/>
      <c r="L81" s="9" t="str">
        <f aca="false">IF(OR(E81="",H81=""),"",E81*H81)</f>
        <v/>
      </c>
      <c r="M81" s="10" t="str">
        <f aca="false">IF(OR(J81="",H81="",H81=0),"",J81/H81)</f>
        <v/>
      </c>
      <c r="N81" s="10" t="str">
        <f aca="false">IF(OR(J81="",I81="",I81=0),"",J81/I81)</f>
        <v/>
      </c>
      <c r="O81" s="10" t="str">
        <f aca="false">IF(OR(J81="",L81="",L81=0),"",J81/L81)</f>
        <v/>
      </c>
      <c r="P81" s="6"/>
    </row>
    <row r="82" customFormat="false" ht="15" hidden="false" customHeight="false" outlineLevel="0" collapsed="false">
      <c r="A82" s="5"/>
      <c r="B82" s="6"/>
      <c r="C82" s="6"/>
      <c r="D82" s="6"/>
      <c r="E82" s="6"/>
      <c r="F82" s="6"/>
      <c r="G82" s="6"/>
      <c r="H82" s="6"/>
      <c r="I82" s="7"/>
      <c r="J82" s="8"/>
      <c r="K82" s="6"/>
      <c r="L82" s="9" t="str">
        <f aca="false">IF(OR(E82="",H82=""),"",E82*H82)</f>
        <v/>
      </c>
      <c r="M82" s="10" t="str">
        <f aca="false">IF(OR(J82="",H82="",H82=0),"",J82/H82)</f>
        <v/>
      </c>
      <c r="N82" s="10" t="str">
        <f aca="false">IF(OR(J82="",I82="",I82=0),"",J82/I82)</f>
        <v/>
      </c>
      <c r="O82" s="10" t="str">
        <f aca="false">IF(OR(J82="",L82="",L82=0),"",J82/L82)</f>
        <v/>
      </c>
      <c r="P82" s="6"/>
    </row>
    <row r="83" customFormat="false" ht="15" hidden="false" customHeight="false" outlineLevel="0" collapsed="false">
      <c r="A83" s="5"/>
      <c r="B83" s="6"/>
      <c r="C83" s="6"/>
      <c r="D83" s="6"/>
      <c r="E83" s="6"/>
      <c r="F83" s="6"/>
      <c r="G83" s="6"/>
      <c r="H83" s="6"/>
      <c r="I83" s="7"/>
      <c r="J83" s="8"/>
      <c r="K83" s="6"/>
      <c r="L83" s="9" t="str">
        <f aca="false">IF(OR(E83="",H83=""),"",E83*H83)</f>
        <v/>
      </c>
      <c r="M83" s="10" t="str">
        <f aca="false">IF(OR(J83="",H83="",H83=0),"",J83/H83)</f>
        <v/>
      </c>
      <c r="N83" s="10" t="str">
        <f aca="false">IF(OR(J83="",I83="",I83=0),"",J83/I83)</f>
        <v/>
      </c>
      <c r="O83" s="10" t="str">
        <f aca="false">IF(OR(J83="",L83="",L83=0),"",J83/L83)</f>
        <v/>
      </c>
      <c r="P83" s="6"/>
    </row>
    <row r="84" customFormat="false" ht="15" hidden="false" customHeight="false" outlineLevel="0" collapsed="false">
      <c r="A84" s="5"/>
      <c r="B84" s="6"/>
      <c r="C84" s="6"/>
      <c r="D84" s="6"/>
      <c r="E84" s="6"/>
      <c r="F84" s="6"/>
      <c r="G84" s="6"/>
      <c r="H84" s="6"/>
      <c r="I84" s="7"/>
      <c r="J84" s="8"/>
      <c r="K84" s="6"/>
      <c r="L84" s="9" t="str">
        <f aca="false">IF(OR(E84="",H84=""),"",E84*H84)</f>
        <v/>
      </c>
      <c r="M84" s="10" t="str">
        <f aca="false">IF(OR(J84="",H84="",H84=0),"",J84/H84)</f>
        <v/>
      </c>
      <c r="N84" s="10" t="str">
        <f aca="false">IF(OR(J84="",I84="",I84=0),"",J84/I84)</f>
        <v/>
      </c>
      <c r="O84" s="10" t="str">
        <f aca="false">IF(OR(J84="",L84="",L84=0),"",J84/L84)</f>
        <v/>
      </c>
      <c r="P84" s="6"/>
    </row>
    <row r="85" customFormat="false" ht="15" hidden="false" customHeight="false" outlineLevel="0" collapsed="false">
      <c r="A85" s="5"/>
      <c r="B85" s="6"/>
      <c r="C85" s="6"/>
      <c r="D85" s="6"/>
      <c r="E85" s="6"/>
      <c r="F85" s="6"/>
      <c r="G85" s="6"/>
      <c r="H85" s="6"/>
      <c r="I85" s="7"/>
      <c r="J85" s="8"/>
      <c r="K85" s="6"/>
      <c r="L85" s="9" t="str">
        <f aca="false">IF(OR(E85="",H85=""),"",E85*H85)</f>
        <v/>
      </c>
      <c r="M85" s="10" t="str">
        <f aca="false">IF(OR(J85="",H85="",H85=0),"",J85/H85)</f>
        <v/>
      </c>
      <c r="N85" s="10" t="str">
        <f aca="false">IF(OR(J85="",I85="",I85=0),"",J85/I85)</f>
        <v/>
      </c>
      <c r="O85" s="10" t="str">
        <f aca="false">IF(OR(J85="",L85="",L85=0),"",J85/L85)</f>
        <v/>
      </c>
      <c r="P85" s="6"/>
    </row>
    <row r="86" customFormat="false" ht="15" hidden="false" customHeight="false" outlineLevel="0" collapsed="false">
      <c r="A86" s="5"/>
      <c r="B86" s="6"/>
      <c r="C86" s="6"/>
      <c r="D86" s="6"/>
      <c r="E86" s="6"/>
      <c r="F86" s="6"/>
      <c r="G86" s="6"/>
      <c r="H86" s="6"/>
      <c r="I86" s="7"/>
      <c r="J86" s="8"/>
      <c r="K86" s="6"/>
      <c r="L86" s="9" t="str">
        <f aca="false">IF(OR(E86="",H86=""),"",E86*H86)</f>
        <v/>
      </c>
      <c r="M86" s="10" t="str">
        <f aca="false">IF(OR(J86="",H86="",H86=0),"",J86/H86)</f>
        <v/>
      </c>
      <c r="N86" s="10" t="str">
        <f aca="false">IF(OR(J86="",I86="",I86=0),"",J86/I86)</f>
        <v/>
      </c>
      <c r="O86" s="10" t="str">
        <f aca="false">IF(OR(J86="",L86="",L86=0),"",J86/L86)</f>
        <v/>
      </c>
      <c r="P86" s="6"/>
    </row>
    <row r="87" customFormat="false" ht="15" hidden="false" customHeight="false" outlineLevel="0" collapsed="false">
      <c r="A87" s="5"/>
      <c r="B87" s="6"/>
      <c r="C87" s="6"/>
      <c r="D87" s="6"/>
      <c r="E87" s="6"/>
      <c r="F87" s="6"/>
      <c r="G87" s="6"/>
      <c r="H87" s="6"/>
      <c r="I87" s="7"/>
      <c r="J87" s="8"/>
      <c r="K87" s="6"/>
      <c r="L87" s="9" t="str">
        <f aca="false">IF(OR(E87="",H87=""),"",E87*H87)</f>
        <v/>
      </c>
      <c r="M87" s="10" t="str">
        <f aca="false">IF(OR(J87="",H87="",H87=0),"",J87/H87)</f>
        <v/>
      </c>
      <c r="N87" s="10" t="str">
        <f aca="false">IF(OR(J87="",I87="",I87=0),"",J87/I87)</f>
        <v/>
      </c>
      <c r="O87" s="10" t="str">
        <f aca="false">IF(OR(J87="",L87="",L87=0),"",J87/L87)</f>
        <v/>
      </c>
      <c r="P87" s="6"/>
    </row>
    <row r="88" customFormat="false" ht="15" hidden="false" customHeight="false" outlineLevel="0" collapsed="false">
      <c r="A88" s="5"/>
      <c r="B88" s="6"/>
      <c r="C88" s="6"/>
      <c r="D88" s="6"/>
      <c r="E88" s="6"/>
      <c r="F88" s="6"/>
      <c r="G88" s="6"/>
      <c r="H88" s="6"/>
      <c r="I88" s="7"/>
      <c r="J88" s="8"/>
      <c r="K88" s="6"/>
      <c r="L88" s="9" t="str">
        <f aca="false">IF(OR(E88="",H88=""),"",E88*H88)</f>
        <v/>
      </c>
      <c r="M88" s="10" t="str">
        <f aca="false">IF(OR(J88="",H88="",H88=0),"",J88/H88)</f>
        <v/>
      </c>
      <c r="N88" s="10" t="str">
        <f aca="false">IF(OR(J88="",I88="",I88=0),"",J88/I88)</f>
        <v/>
      </c>
      <c r="O88" s="10" t="str">
        <f aca="false">IF(OR(J88="",L88="",L88=0),"",J88/L88)</f>
        <v/>
      </c>
      <c r="P88" s="6"/>
    </row>
    <row r="89" customFormat="false" ht="15" hidden="false" customHeight="false" outlineLevel="0" collapsed="false">
      <c r="A89" s="5"/>
      <c r="B89" s="6"/>
      <c r="C89" s="6"/>
      <c r="D89" s="6"/>
      <c r="E89" s="6"/>
      <c r="F89" s="6"/>
      <c r="G89" s="6"/>
      <c r="H89" s="6"/>
      <c r="I89" s="7"/>
      <c r="J89" s="8"/>
      <c r="K89" s="6"/>
      <c r="L89" s="9" t="str">
        <f aca="false">IF(OR(E89="",H89=""),"",E89*H89)</f>
        <v/>
      </c>
      <c r="M89" s="10" t="str">
        <f aca="false">IF(OR(J89="",H89="",H89=0),"",J89/H89)</f>
        <v/>
      </c>
      <c r="N89" s="10" t="str">
        <f aca="false">IF(OR(J89="",I89="",I89=0),"",J89/I89)</f>
        <v/>
      </c>
      <c r="O89" s="10" t="str">
        <f aca="false">IF(OR(J89="",L89="",L89=0),"",J89/L89)</f>
        <v/>
      </c>
      <c r="P89" s="6"/>
    </row>
    <row r="90" customFormat="false" ht="15" hidden="false" customHeight="false" outlineLevel="0" collapsed="false">
      <c r="A90" s="5"/>
      <c r="B90" s="6"/>
      <c r="C90" s="6"/>
      <c r="D90" s="6"/>
      <c r="E90" s="6"/>
      <c r="F90" s="6"/>
      <c r="G90" s="6"/>
      <c r="H90" s="6"/>
      <c r="I90" s="7"/>
      <c r="J90" s="8"/>
      <c r="K90" s="6"/>
      <c r="L90" s="9" t="str">
        <f aca="false">IF(OR(E90="",H90=""),"",E90*H90)</f>
        <v/>
      </c>
      <c r="M90" s="10" t="str">
        <f aca="false">IF(OR(J90="",H90="",H90=0),"",J90/H90)</f>
        <v/>
      </c>
      <c r="N90" s="10" t="str">
        <f aca="false">IF(OR(J90="",I90="",I90=0),"",J90/I90)</f>
        <v/>
      </c>
      <c r="O90" s="10" t="str">
        <f aca="false">IF(OR(J90="",L90="",L90=0),"",J90/L90)</f>
        <v/>
      </c>
      <c r="P90" s="6"/>
    </row>
    <row r="91" customFormat="false" ht="15" hidden="false" customHeight="false" outlineLevel="0" collapsed="false">
      <c r="A91" s="5"/>
      <c r="B91" s="6"/>
      <c r="C91" s="6"/>
      <c r="D91" s="6"/>
      <c r="E91" s="6"/>
      <c r="F91" s="6"/>
      <c r="G91" s="6"/>
      <c r="H91" s="6"/>
      <c r="I91" s="7"/>
      <c r="J91" s="8"/>
      <c r="K91" s="6"/>
      <c r="L91" s="9" t="str">
        <f aca="false">IF(OR(E91="",H91=""),"",E91*H91)</f>
        <v/>
      </c>
      <c r="M91" s="10" t="str">
        <f aca="false">IF(OR(J91="",H91="",H91=0),"",J91/H91)</f>
        <v/>
      </c>
      <c r="N91" s="10" t="str">
        <f aca="false">IF(OR(J91="",I91="",I91=0),"",J91/I91)</f>
        <v/>
      </c>
      <c r="O91" s="10" t="str">
        <f aca="false">IF(OR(J91="",L91="",L91=0),"",J91/L91)</f>
        <v/>
      </c>
      <c r="P91" s="6"/>
    </row>
    <row r="92" customFormat="false" ht="15" hidden="false" customHeight="false" outlineLevel="0" collapsed="false">
      <c r="A92" s="5"/>
      <c r="B92" s="6"/>
      <c r="C92" s="6"/>
      <c r="D92" s="6"/>
      <c r="E92" s="6"/>
      <c r="F92" s="6"/>
      <c r="G92" s="6"/>
      <c r="H92" s="6"/>
      <c r="I92" s="7"/>
      <c r="J92" s="8"/>
      <c r="K92" s="6"/>
      <c r="L92" s="9" t="str">
        <f aca="false">IF(OR(E92="",H92=""),"",E92*H92)</f>
        <v/>
      </c>
      <c r="M92" s="10" t="str">
        <f aca="false">IF(OR(J92="",H92="",H92=0),"",J92/H92)</f>
        <v/>
      </c>
      <c r="N92" s="10" t="str">
        <f aca="false">IF(OR(J92="",I92="",I92=0),"",J92/I92)</f>
        <v/>
      </c>
      <c r="O92" s="10" t="str">
        <f aca="false">IF(OR(J92="",L92="",L92=0),"",J92/L92)</f>
        <v/>
      </c>
      <c r="P92" s="6"/>
    </row>
    <row r="93" customFormat="false" ht="15" hidden="false" customHeight="false" outlineLevel="0" collapsed="false">
      <c r="A93" s="5"/>
      <c r="B93" s="6"/>
      <c r="C93" s="6"/>
      <c r="D93" s="6"/>
      <c r="E93" s="6"/>
      <c r="F93" s="6"/>
      <c r="G93" s="6"/>
      <c r="H93" s="6"/>
      <c r="I93" s="7"/>
      <c r="J93" s="8"/>
      <c r="K93" s="6"/>
      <c r="L93" s="9" t="str">
        <f aca="false">IF(OR(E93="",H93=""),"",E93*H93)</f>
        <v/>
      </c>
      <c r="M93" s="10" t="str">
        <f aca="false">IF(OR(J93="",H93="",H93=0),"",J93/H93)</f>
        <v/>
      </c>
      <c r="N93" s="10" t="str">
        <f aca="false">IF(OR(J93="",I93="",I93=0),"",J93/I93)</f>
        <v/>
      </c>
      <c r="O93" s="10" t="str">
        <f aca="false">IF(OR(J93="",L93="",L93=0),"",J93/L93)</f>
        <v/>
      </c>
      <c r="P93" s="6"/>
    </row>
    <row r="94" customFormat="false" ht="15" hidden="false" customHeight="false" outlineLevel="0" collapsed="false">
      <c r="A94" s="5"/>
      <c r="B94" s="6"/>
      <c r="C94" s="6"/>
      <c r="D94" s="6"/>
      <c r="E94" s="6"/>
      <c r="F94" s="6"/>
      <c r="G94" s="6"/>
      <c r="H94" s="6"/>
      <c r="I94" s="7"/>
      <c r="J94" s="8"/>
      <c r="K94" s="6"/>
      <c r="L94" s="9" t="str">
        <f aca="false">IF(OR(E94="",H94=""),"",E94*H94)</f>
        <v/>
      </c>
      <c r="M94" s="10" t="str">
        <f aca="false">IF(OR(J94="",H94="",H94=0),"",J94/H94)</f>
        <v/>
      </c>
      <c r="N94" s="10" t="str">
        <f aca="false">IF(OR(J94="",I94="",I94=0),"",J94/I94)</f>
        <v/>
      </c>
      <c r="O94" s="10" t="str">
        <f aca="false">IF(OR(J94="",L94="",L94=0),"",J94/L94)</f>
        <v/>
      </c>
      <c r="P94" s="6"/>
    </row>
    <row r="95" customFormat="false" ht="15" hidden="false" customHeight="false" outlineLevel="0" collapsed="false">
      <c r="A95" s="5"/>
      <c r="B95" s="6"/>
      <c r="C95" s="6"/>
      <c r="D95" s="6"/>
      <c r="E95" s="6"/>
      <c r="F95" s="6"/>
      <c r="G95" s="6"/>
      <c r="H95" s="6"/>
      <c r="I95" s="7"/>
      <c r="J95" s="8"/>
      <c r="K95" s="6"/>
      <c r="L95" s="9" t="str">
        <f aca="false">IF(OR(E95="",H95=""),"",E95*H95)</f>
        <v/>
      </c>
      <c r="M95" s="10" t="str">
        <f aca="false">IF(OR(J95="",H95="",H95=0),"",J95/H95)</f>
        <v/>
      </c>
      <c r="N95" s="10" t="str">
        <f aca="false">IF(OR(J95="",I95="",I95=0),"",J95/I95)</f>
        <v/>
      </c>
      <c r="O95" s="10" t="str">
        <f aca="false">IF(OR(J95="",L95="",L95=0),"",J95/L95)</f>
        <v/>
      </c>
      <c r="P95" s="6"/>
    </row>
    <row r="96" customFormat="false" ht="15" hidden="false" customHeight="false" outlineLevel="0" collapsed="false">
      <c r="A96" s="5"/>
      <c r="B96" s="6"/>
      <c r="C96" s="6"/>
      <c r="D96" s="6"/>
      <c r="E96" s="6"/>
      <c r="F96" s="6"/>
      <c r="G96" s="6"/>
      <c r="H96" s="6"/>
      <c r="I96" s="7"/>
      <c r="J96" s="8"/>
      <c r="K96" s="6"/>
      <c r="L96" s="9" t="str">
        <f aca="false">IF(OR(E96="",H96=""),"",E96*H96)</f>
        <v/>
      </c>
      <c r="M96" s="10" t="str">
        <f aca="false">IF(OR(J96="",H96="",H96=0),"",J96/H96)</f>
        <v/>
      </c>
      <c r="N96" s="10" t="str">
        <f aca="false">IF(OR(J96="",I96="",I96=0),"",J96/I96)</f>
        <v/>
      </c>
      <c r="O96" s="10" t="str">
        <f aca="false">IF(OR(J96="",L96="",L96=0),"",J96/L96)</f>
        <v/>
      </c>
      <c r="P96" s="6"/>
    </row>
    <row r="97" customFormat="false" ht="15" hidden="false" customHeight="false" outlineLevel="0" collapsed="false">
      <c r="A97" s="5"/>
      <c r="B97" s="6"/>
      <c r="C97" s="6"/>
      <c r="D97" s="6"/>
      <c r="E97" s="6"/>
      <c r="F97" s="6"/>
      <c r="G97" s="6"/>
      <c r="H97" s="6"/>
      <c r="I97" s="7"/>
      <c r="J97" s="8"/>
      <c r="K97" s="6"/>
      <c r="L97" s="9" t="str">
        <f aca="false">IF(OR(E97="",H97=""),"",E97*H97)</f>
        <v/>
      </c>
      <c r="M97" s="10" t="str">
        <f aca="false">IF(OR(J97="",H97="",H97=0),"",J97/H97)</f>
        <v/>
      </c>
      <c r="N97" s="10" t="str">
        <f aca="false">IF(OR(J97="",I97="",I97=0),"",J97/I97)</f>
        <v/>
      </c>
      <c r="O97" s="10" t="str">
        <f aca="false">IF(OR(J97="",L97="",L97=0),"",J97/L97)</f>
        <v/>
      </c>
      <c r="P97" s="6"/>
    </row>
    <row r="98" customFormat="false" ht="15" hidden="false" customHeight="false" outlineLevel="0" collapsed="false">
      <c r="A98" s="5"/>
      <c r="B98" s="6"/>
      <c r="C98" s="6"/>
      <c r="D98" s="6"/>
      <c r="E98" s="6"/>
      <c r="F98" s="6"/>
      <c r="G98" s="6"/>
      <c r="H98" s="6"/>
      <c r="I98" s="7"/>
      <c r="J98" s="8"/>
      <c r="K98" s="6"/>
      <c r="L98" s="9" t="str">
        <f aca="false">IF(OR(E98="",H98=""),"",E98*H98)</f>
        <v/>
      </c>
      <c r="M98" s="10" t="str">
        <f aca="false">IF(OR(J98="",H98="",H98=0),"",J98/H98)</f>
        <v/>
      </c>
      <c r="N98" s="10" t="str">
        <f aca="false">IF(OR(J98="",I98="",I98=0),"",J98/I98)</f>
        <v/>
      </c>
      <c r="O98" s="10" t="str">
        <f aca="false">IF(OR(J98="",L98="",L98=0),"",J98/L98)</f>
        <v/>
      </c>
      <c r="P98" s="6"/>
    </row>
    <row r="99" customFormat="false" ht="15" hidden="false" customHeight="false" outlineLevel="0" collapsed="false">
      <c r="A99" s="5"/>
      <c r="B99" s="6"/>
      <c r="C99" s="6"/>
      <c r="D99" s="6"/>
      <c r="E99" s="6"/>
      <c r="F99" s="6"/>
      <c r="G99" s="6"/>
      <c r="H99" s="6"/>
      <c r="I99" s="7"/>
      <c r="J99" s="8"/>
      <c r="K99" s="6"/>
      <c r="L99" s="9" t="str">
        <f aca="false">IF(OR(E99="",H99=""),"",E99*H99)</f>
        <v/>
      </c>
      <c r="M99" s="10" t="str">
        <f aca="false">IF(OR(J99="",H99="",H99=0),"",J99/H99)</f>
        <v/>
      </c>
      <c r="N99" s="10" t="str">
        <f aca="false">IF(OR(J99="",I99="",I99=0),"",J99/I99)</f>
        <v/>
      </c>
      <c r="O99" s="10" t="str">
        <f aca="false">IF(OR(J99="",L99="",L99=0),"",J99/L99)</f>
        <v/>
      </c>
      <c r="P99" s="6"/>
    </row>
    <row r="100" customFormat="false" ht="15" hidden="false" customHeight="false" outlineLevel="0" collapsed="false">
      <c r="A100" s="5"/>
      <c r="B100" s="6"/>
      <c r="C100" s="6"/>
      <c r="D100" s="6"/>
      <c r="E100" s="6"/>
      <c r="F100" s="6"/>
      <c r="G100" s="6"/>
      <c r="H100" s="6"/>
      <c r="I100" s="7"/>
      <c r="J100" s="8"/>
      <c r="K100" s="6"/>
      <c r="L100" s="9" t="str">
        <f aca="false">IF(OR(E100="",H100=""),"",E100*H100)</f>
        <v/>
      </c>
      <c r="M100" s="10" t="str">
        <f aca="false">IF(OR(J100="",H100="",H100=0),"",J100/H100)</f>
        <v/>
      </c>
      <c r="N100" s="10" t="str">
        <f aca="false">IF(OR(J100="",I100="",I100=0),"",J100/I100)</f>
        <v/>
      </c>
      <c r="O100" s="10" t="str">
        <f aca="false">IF(OR(J100="",L100="",L100=0),"",J100/L100)</f>
        <v/>
      </c>
      <c r="P100" s="6"/>
    </row>
    <row r="101" customFormat="false" ht="15" hidden="false" customHeight="false" outlineLevel="0" collapsed="false">
      <c r="A101" s="5"/>
      <c r="B101" s="6"/>
      <c r="C101" s="6"/>
      <c r="D101" s="6"/>
      <c r="E101" s="6"/>
      <c r="F101" s="6"/>
      <c r="G101" s="6"/>
      <c r="H101" s="6"/>
      <c r="I101" s="7"/>
      <c r="J101" s="8"/>
      <c r="K101" s="6"/>
      <c r="L101" s="9" t="str">
        <f aca="false">IF(OR(E101="",H101=""),"",E101*H101)</f>
        <v/>
      </c>
      <c r="M101" s="10" t="str">
        <f aca="false">IF(OR(J101="",H101="",H101=0),"",J101/H101)</f>
        <v/>
      </c>
      <c r="N101" s="10" t="str">
        <f aca="false">IF(OR(J101="",I101="",I101=0),"",J101/I101)</f>
        <v/>
      </c>
      <c r="O101" s="10" t="str">
        <f aca="false">IF(OR(J101="",L101="",L101=0),"",J101/L101)</f>
        <v/>
      </c>
      <c r="P101" s="6"/>
    </row>
    <row r="102" customFormat="false" ht="15" hidden="false" customHeight="false" outlineLevel="0" collapsed="false">
      <c r="A102" s="5"/>
      <c r="B102" s="6"/>
      <c r="C102" s="6"/>
      <c r="D102" s="6"/>
      <c r="E102" s="6"/>
      <c r="F102" s="6"/>
      <c r="G102" s="6"/>
      <c r="H102" s="6"/>
      <c r="I102" s="7"/>
      <c r="J102" s="8"/>
      <c r="K102" s="6"/>
      <c r="L102" s="9" t="str">
        <f aca="false">IF(OR(E102="",H102=""),"",E102*H102)</f>
        <v/>
      </c>
      <c r="M102" s="10" t="str">
        <f aca="false">IF(OR(J102="",H102="",H102=0),"",J102/H102)</f>
        <v/>
      </c>
      <c r="N102" s="10" t="str">
        <f aca="false">IF(OR(J102="",I102="",I102=0),"",J102/I102)</f>
        <v/>
      </c>
      <c r="O102" s="10" t="str">
        <f aca="false">IF(OR(J102="",L102="",L102=0),"",J102/L102)</f>
        <v/>
      </c>
      <c r="P102" s="6"/>
    </row>
    <row r="103" customFormat="false" ht="15" hidden="false" customHeight="false" outlineLevel="0" collapsed="false">
      <c r="A103" s="5"/>
      <c r="B103" s="6"/>
      <c r="C103" s="6"/>
      <c r="D103" s="6"/>
      <c r="E103" s="6"/>
      <c r="F103" s="6"/>
      <c r="G103" s="6"/>
      <c r="H103" s="6"/>
      <c r="I103" s="7"/>
      <c r="J103" s="8"/>
      <c r="K103" s="6"/>
      <c r="L103" s="9" t="str">
        <f aca="false">IF(OR(E103="",H103=""),"",E103*H103)</f>
        <v/>
      </c>
      <c r="M103" s="10" t="str">
        <f aca="false">IF(OR(J103="",H103="",H103=0),"",J103/H103)</f>
        <v/>
      </c>
      <c r="N103" s="10" t="str">
        <f aca="false">IF(OR(J103="",I103="",I103=0),"",J103/I103)</f>
        <v/>
      </c>
      <c r="O103" s="10" t="str">
        <f aca="false">IF(OR(J103="",L103="",L103=0),"",J103/L103)</f>
        <v/>
      </c>
      <c r="P103" s="6"/>
    </row>
    <row r="104" customFormat="false" ht="15" hidden="false" customHeight="false" outlineLevel="0" collapsed="false">
      <c r="A104" s="5"/>
      <c r="B104" s="6"/>
      <c r="C104" s="6"/>
      <c r="D104" s="6"/>
      <c r="E104" s="6"/>
      <c r="F104" s="6"/>
      <c r="G104" s="6"/>
      <c r="H104" s="6"/>
      <c r="I104" s="7"/>
      <c r="J104" s="8"/>
      <c r="K104" s="6"/>
      <c r="L104" s="9" t="str">
        <f aca="false">IF(OR(E104="",H104=""),"",E104*H104)</f>
        <v/>
      </c>
      <c r="M104" s="10" t="str">
        <f aca="false">IF(OR(J104="",H104="",H104=0),"",J104/H104)</f>
        <v/>
      </c>
      <c r="N104" s="10" t="str">
        <f aca="false">IF(OR(J104="",I104="",I104=0),"",J104/I104)</f>
        <v/>
      </c>
      <c r="O104" s="10" t="str">
        <f aca="false">IF(OR(J104="",L104="",L104=0),"",J104/L104)</f>
        <v/>
      </c>
      <c r="P104" s="6"/>
    </row>
    <row r="105" customFormat="false" ht="15" hidden="false" customHeight="false" outlineLevel="0" collapsed="false">
      <c r="A105" s="5"/>
      <c r="B105" s="6"/>
      <c r="C105" s="6"/>
      <c r="D105" s="6"/>
      <c r="E105" s="6"/>
      <c r="F105" s="6"/>
      <c r="G105" s="6"/>
      <c r="H105" s="6"/>
      <c r="I105" s="7"/>
      <c r="J105" s="8"/>
      <c r="K105" s="6"/>
      <c r="L105" s="9" t="str">
        <f aca="false">IF(OR(E105="",H105=""),"",E105*H105)</f>
        <v/>
      </c>
      <c r="M105" s="10" t="str">
        <f aca="false">IF(OR(J105="",H105="",H105=0),"",J105/H105)</f>
        <v/>
      </c>
      <c r="N105" s="10" t="str">
        <f aca="false">IF(OR(J105="",I105="",I105=0),"",J105/I105)</f>
        <v/>
      </c>
      <c r="O105" s="10" t="str">
        <f aca="false">IF(OR(J105="",L105="",L105=0),"",J105/L105)</f>
        <v/>
      </c>
      <c r="P105" s="6"/>
    </row>
    <row r="106" customFormat="false" ht="15" hidden="false" customHeight="false" outlineLevel="0" collapsed="false">
      <c r="A106" s="5"/>
      <c r="B106" s="6"/>
      <c r="C106" s="6"/>
      <c r="D106" s="6"/>
      <c r="E106" s="6"/>
      <c r="F106" s="6"/>
      <c r="G106" s="6"/>
      <c r="H106" s="6"/>
      <c r="I106" s="7"/>
      <c r="J106" s="8"/>
      <c r="K106" s="6"/>
      <c r="L106" s="9" t="str">
        <f aca="false">IF(OR(E106="",H106=""),"",E106*H106)</f>
        <v/>
      </c>
      <c r="M106" s="10" t="str">
        <f aca="false">IF(OR(J106="",H106="",H106=0),"",J106/H106)</f>
        <v/>
      </c>
      <c r="N106" s="10" t="str">
        <f aca="false">IF(OR(J106="",I106="",I106=0),"",J106/I106)</f>
        <v/>
      </c>
      <c r="O106" s="10" t="str">
        <f aca="false">IF(OR(J106="",L106="",L106=0),"",J106/L106)</f>
        <v/>
      </c>
      <c r="P106" s="6"/>
    </row>
    <row r="107" customFormat="false" ht="15" hidden="false" customHeight="false" outlineLevel="0" collapsed="false">
      <c r="A107" s="5"/>
      <c r="B107" s="6"/>
      <c r="C107" s="6"/>
      <c r="D107" s="6"/>
      <c r="E107" s="6"/>
      <c r="F107" s="6"/>
      <c r="G107" s="6"/>
      <c r="H107" s="6"/>
      <c r="I107" s="7"/>
      <c r="J107" s="8"/>
      <c r="K107" s="6"/>
      <c r="L107" s="9" t="str">
        <f aca="false">IF(OR(E107="",H107=""),"",E107*H107)</f>
        <v/>
      </c>
      <c r="M107" s="10" t="str">
        <f aca="false">IF(OR(J107="",H107="",H107=0),"",J107/H107)</f>
        <v/>
      </c>
      <c r="N107" s="10" t="str">
        <f aca="false">IF(OR(J107="",I107="",I107=0),"",J107/I107)</f>
        <v/>
      </c>
      <c r="O107" s="10" t="str">
        <f aca="false">IF(OR(J107="",L107="",L107=0),"",J107/L107)</f>
        <v/>
      </c>
      <c r="P107" s="6"/>
    </row>
    <row r="108" customFormat="false" ht="15" hidden="false" customHeight="false" outlineLevel="0" collapsed="false">
      <c r="A108" s="5"/>
      <c r="B108" s="6"/>
      <c r="C108" s="6"/>
      <c r="D108" s="6"/>
      <c r="E108" s="6"/>
      <c r="F108" s="6"/>
      <c r="G108" s="6"/>
      <c r="H108" s="6"/>
      <c r="I108" s="7"/>
      <c r="J108" s="8"/>
      <c r="K108" s="6"/>
      <c r="L108" s="9" t="str">
        <f aca="false">IF(OR(E108="",H108=""),"",E108*H108)</f>
        <v/>
      </c>
      <c r="M108" s="10" t="str">
        <f aca="false">IF(OR(J108="",H108="",H108=0),"",J108/H108)</f>
        <v/>
      </c>
      <c r="N108" s="10" t="str">
        <f aca="false">IF(OR(J108="",I108="",I108=0),"",J108/I108)</f>
        <v/>
      </c>
      <c r="O108" s="10" t="str">
        <f aca="false">IF(OR(J108="",L108="",L108=0),"",J108/L108)</f>
        <v/>
      </c>
      <c r="P108" s="6"/>
    </row>
    <row r="109" customFormat="false" ht="15" hidden="false" customHeight="false" outlineLevel="0" collapsed="false">
      <c r="A109" s="5"/>
      <c r="B109" s="6"/>
      <c r="C109" s="6"/>
      <c r="D109" s="6"/>
      <c r="E109" s="6"/>
      <c r="F109" s="6"/>
      <c r="G109" s="6"/>
      <c r="H109" s="6"/>
      <c r="I109" s="7"/>
      <c r="J109" s="8"/>
      <c r="K109" s="6"/>
      <c r="L109" s="9" t="str">
        <f aca="false">IF(OR(E109="",H109=""),"",E109*H109)</f>
        <v/>
      </c>
      <c r="M109" s="10" t="str">
        <f aca="false">IF(OR(J109="",H109="",H109=0),"",J109/H109)</f>
        <v/>
      </c>
      <c r="N109" s="10" t="str">
        <f aca="false">IF(OR(J109="",I109="",I109=0),"",J109/I109)</f>
        <v/>
      </c>
      <c r="O109" s="10" t="str">
        <f aca="false">IF(OR(J109="",L109="",L109=0),"",J109/L109)</f>
        <v/>
      </c>
      <c r="P109" s="6"/>
    </row>
    <row r="110" customFormat="false" ht="15" hidden="false" customHeight="false" outlineLevel="0" collapsed="false">
      <c r="A110" s="5"/>
      <c r="B110" s="6"/>
      <c r="C110" s="6"/>
      <c r="D110" s="6"/>
      <c r="E110" s="6"/>
      <c r="F110" s="6"/>
      <c r="G110" s="6"/>
      <c r="H110" s="6"/>
      <c r="I110" s="7"/>
      <c r="J110" s="8"/>
      <c r="K110" s="6"/>
      <c r="L110" s="9" t="str">
        <f aca="false">IF(OR(E110="",H110=""),"",E110*H110)</f>
        <v/>
      </c>
      <c r="M110" s="10" t="str">
        <f aca="false">IF(OR(J110="",H110="",H110=0),"",J110/H110)</f>
        <v/>
      </c>
      <c r="N110" s="10" t="str">
        <f aca="false">IF(OR(J110="",I110="",I110=0),"",J110/I110)</f>
        <v/>
      </c>
      <c r="O110" s="10" t="str">
        <f aca="false">IF(OR(J110="",L110="",L110=0),"",J110/L110)</f>
        <v/>
      </c>
      <c r="P110" s="6"/>
    </row>
    <row r="111" customFormat="false" ht="15" hidden="false" customHeight="false" outlineLevel="0" collapsed="false">
      <c r="A111" s="5"/>
      <c r="B111" s="6"/>
      <c r="C111" s="6"/>
      <c r="D111" s="6"/>
      <c r="E111" s="6"/>
      <c r="F111" s="6"/>
      <c r="G111" s="6"/>
      <c r="H111" s="6"/>
      <c r="I111" s="7"/>
      <c r="J111" s="8"/>
      <c r="K111" s="6"/>
      <c r="L111" s="9" t="str">
        <f aca="false">IF(OR(E111="",H111=""),"",E111*H111)</f>
        <v/>
      </c>
      <c r="M111" s="10" t="str">
        <f aca="false">IF(OR(J111="",H111="",H111=0),"",J111/H111)</f>
        <v/>
      </c>
      <c r="N111" s="10" t="str">
        <f aca="false">IF(OR(J111="",I111="",I111=0),"",J111/I111)</f>
        <v/>
      </c>
      <c r="O111" s="10" t="str">
        <f aca="false">IF(OR(J111="",L111="",L111=0),"",J111/L111)</f>
        <v/>
      </c>
      <c r="P111" s="6"/>
    </row>
    <row r="112" customFormat="false" ht="15" hidden="false" customHeight="false" outlineLevel="0" collapsed="false">
      <c r="A112" s="5"/>
      <c r="B112" s="6"/>
      <c r="C112" s="6"/>
      <c r="D112" s="6"/>
      <c r="E112" s="6"/>
      <c r="F112" s="6"/>
      <c r="G112" s="6"/>
      <c r="H112" s="6"/>
      <c r="I112" s="7"/>
      <c r="J112" s="8"/>
      <c r="K112" s="6"/>
      <c r="L112" s="9" t="str">
        <f aca="false">IF(OR(E112="",H112=""),"",E112*H112)</f>
        <v/>
      </c>
      <c r="M112" s="10" t="str">
        <f aca="false">IF(OR(J112="",H112="",H112=0),"",J112/H112)</f>
        <v/>
      </c>
      <c r="N112" s="10" t="str">
        <f aca="false">IF(OR(J112="",I112="",I112=0),"",J112/I112)</f>
        <v/>
      </c>
      <c r="O112" s="10" t="str">
        <f aca="false">IF(OR(J112="",L112="",L112=0),"",J112/L112)</f>
        <v/>
      </c>
      <c r="P112" s="6"/>
    </row>
    <row r="113" customFormat="false" ht="15" hidden="false" customHeight="false" outlineLevel="0" collapsed="false">
      <c r="A113" s="5"/>
      <c r="B113" s="6"/>
      <c r="C113" s="6"/>
      <c r="D113" s="6"/>
      <c r="E113" s="6"/>
      <c r="F113" s="6"/>
      <c r="G113" s="6"/>
      <c r="H113" s="6"/>
      <c r="I113" s="7"/>
      <c r="J113" s="8"/>
      <c r="K113" s="6"/>
      <c r="L113" s="9" t="str">
        <f aca="false">IF(OR(E113="",H113=""),"",E113*H113)</f>
        <v/>
      </c>
      <c r="M113" s="10" t="str">
        <f aca="false">IF(OR(J113="",H113="",H113=0),"",J113/H113)</f>
        <v/>
      </c>
      <c r="N113" s="10" t="str">
        <f aca="false">IF(OR(J113="",I113="",I113=0),"",J113/I113)</f>
        <v/>
      </c>
      <c r="O113" s="10" t="str">
        <f aca="false">IF(OR(J113="",L113="",L113=0),"",J113/L113)</f>
        <v/>
      </c>
      <c r="P113" s="6"/>
    </row>
    <row r="114" customFormat="false" ht="15" hidden="false" customHeight="false" outlineLevel="0" collapsed="false">
      <c r="A114" s="5"/>
      <c r="B114" s="6"/>
      <c r="C114" s="6"/>
      <c r="D114" s="6"/>
      <c r="E114" s="6"/>
      <c r="F114" s="6"/>
      <c r="G114" s="6"/>
      <c r="H114" s="6"/>
      <c r="I114" s="7"/>
      <c r="J114" s="8"/>
      <c r="K114" s="6"/>
      <c r="L114" s="9" t="str">
        <f aca="false">IF(OR(E114="",H114=""),"",E114*H114)</f>
        <v/>
      </c>
      <c r="M114" s="10" t="str">
        <f aca="false">IF(OR(J114="",H114="",H114=0),"",J114/H114)</f>
        <v/>
      </c>
      <c r="N114" s="10" t="str">
        <f aca="false">IF(OR(J114="",I114="",I114=0),"",J114/I114)</f>
        <v/>
      </c>
      <c r="O114" s="10" t="str">
        <f aca="false">IF(OR(J114="",L114="",L114=0),"",J114/L114)</f>
        <v/>
      </c>
      <c r="P114" s="6"/>
    </row>
    <row r="115" customFormat="false" ht="15" hidden="false" customHeight="false" outlineLevel="0" collapsed="false">
      <c r="A115" s="5"/>
      <c r="B115" s="6"/>
      <c r="C115" s="6"/>
      <c r="D115" s="6"/>
      <c r="E115" s="6"/>
      <c r="F115" s="6"/>
      <c r="G115" s="6"/>
      <c r="H115" s="6"/>
      <c r="I115" s="7"/>
      <c r="J115" s="8"/>
      <c r="K115" s="6"/>
      <c r="L115" s="9" t="str">
        <f aca="false">IF(OR(E115="",H115=""),"",E115*H115)</f>
        <v/>
      </c>
      <c r="M115" s="10" t="str">
        <f aca="false">IF(OR(J115="",H115="",H115=0),"",J115/H115)</f>
        <v/>
      </c>
      <c r="N115" s="10" t="str">
        <f aca="false">IF(OR(J115="",I115="",I115=0),"",J115/I115)</f>
        <v/>
      </c>
      <c r="O115" s="10" t="str">
        <f aca="false">IF(OR(J115="",L115="",L115=0),"",J115/L115)</f>
        <v/>
      </c>
      <c r="P115" s="6"/>
    </row>
    <row r="116" customFormat="false" ht="15" hidden="false" customHeight="false" outlineLevel="0" collapsed="false">
      <c r="A116" s="5"/>
      <c r="B116" s="6"/>
      <c r="C116" s="6"/>
      <c r="D116" s="6"/>
      <c r="E116" s="6"/>
      <c r="F116" s="6"/>
      <c r="G116" s="6"/>
      <c r="H116" s="6"/>
      <c r="I116" s="7"/>
      <c r="J116" s="8"/>
      <c r="K116" s="6"/>
      <c r="L116" s="9" t="str">
        <f aca="false">IF(OR(E116="",H116=""),"",E116*H116)</f>
        <v/>
      </c>
      <c r="M116" s="10" t="str">
        <f aca="false">IF(OR(J116="",H116="",H116=0),"",J116/H116)</f>
        <v/>
      </c>
      <c r="N116" s="10" t="str">
        <f aca="false">IF(OR(J116="",I116="",I116=0),"",J116/I116)</f>
        <v/>
      </c>
      <c r="O116" s="10" t="str">
        <f aca="false">IF(OR(J116="",L116="",L116=0),"",J116/L116)</f>
        <v/>
      </c>
      <c r="P116" s="6"/>
    </row>
    <row r="117" customFormat="false" ht="15" hidden="false" customHeight="false" outlineLevel="0" collapsed="false">
      <c r="A117" s="5"/>
      <c r="B117" s="6"/>
      <c r="C117" s="6"/>
      <c r="D117" s="6"/>
      <c r="E117" s="6"/>
      <c r="F117" s="6"/>
      <c r="G117" s="6"/>
      <c r="H117" s="6"/>
      <c r="I117" s="7"/>
      <c r="J117" s="8"/>
      <c r="K117" s="6"/>
      <c r="L117" s="9" t="str">
        <f aca="false">IF(OR(E117="",H117=""),"",E117*H117)</f>
        <v/>
      </c>
      <c r="M117" s="10" t="str">
        <f aca="false">IF(OR(J117="",H117="",H117=0),"",J117/H117)</f>
        <v/>
      </c>
      <c r="N117" s="10" t="str">
        <f aca="false">IF(OR(J117="",I117="",I117=0),"",J117/I117)</f>
        <v/>
      </c>
      <c r="O117" s="10" t="str">
        <f aca="false">IF(OR(J117="",L117="",L117=0),"",J117/L117)</f>
        <v/>
      </c>
      <c r="P117" s="6"/>
    </row>
    <row r="118" customFormat="false" ht="15" hidden="false" customHeight="false" outlineLevel="0" collapsed="false">
      <c r="A118" s="5"/>
      <c r="B118" s="6"/>
      <c r="C118" s="6"/>
      <c r="D118" s="6"/>
      <c r="E118" s="6"/>
      <c r="F118" s="6"/>
      <c r="G118" s="6"/>
      <c r="H118" s="6"/>
      <c r="I118" s="7"/>
      <c r="J118" s="8"/>
      <c r="K118" s="6"/>
      <c r="L118" s="9" t="str">
        <f aca="false">IF(OR(E118="",H118=""),"",E118*H118)</f>
        <v/>
      </c>
      <c r="M118" s="10" t="str">
        <f aca="false">IF(OR(J118="",H118="",H118=0),"",J118/H118)</f>
        <v/>
      </c>
      <c r="N118" s="10" t="str">
        <f aca="false">IF(OR(J118="",I118="",I118=0),"",J118/I118)</f>
        <v/>
      </c>
      <c r="O118" s="10" t="str">
        <f aca="false">IF(OR(J118="",L118="",L118=0),"",J118/L118)</f>
        <v/>
      </c>
      <c r="P118" s="6"/>
    </row>
    <row r="119" customFormat="false" ht="15" hidden="false" customHeight="false" outlineLevel="0" collapsed="false">
      <c r="A119" s="5"/>
      <c r="B119" s="6"/>
      <c r="C119" s="6"/>
      <c r="D119" s="6"/>
      <c r="E119" s="6"/>
      <c r="F119" s="6"/>
      <c r="G119" s="6"/>
      <c r="H119" s="6"/>
      <c r="I119" s="7"/>
      <c r="J119" s="8"/>
      <c r="K119" s="6"/>
      <c r="L119" s="9" t="str">
        <f aca="false">IF(OR(E119="",H119=""),"",E119*H119)</f>
        <v/>
      </c>
      <c r="M119" s="10" t="str">
        <f aca="false">IF(OR(J119="",H119="",H119=0),"",J119/H119)</f>
        <v/>
      </c>
      <c r="N119" s="10" t="str">
        <f aca="false">IF(OR(J119="",I119="",I119=0),"",J119/I119)</f>
        <v/>
      </c>
      <c r="O119" s="10" t="str">
        <f aca="false">IF(OR(J119="",L119="",L119=0),"",J119/L119)</f>
        <v/>
      </c>
      <c r="P119" s="6"/>
    </row>
    <row r="120" customFormat="false" ht="15" hidden="false" customHeight="false" outlineLevel="0" collapsed="false">
      <c r="A120" s="5"/>
      <c r="B120" s="6"/>
      <c r="C120" s="6"/>
      <c r="D120" s="6"/>
      <c r="E120" s="6"/>
      <c r="F120" s="6"/>
      <c r="G120" s="6"/>
      <c r="H120" s="6"/>
      <c r="I120" s="7"/>
      <c r="J120" s="8"/>
      <c r="K120" s="6"/>
      <c r="L120" s="9" t="str">
        <f aca="false">IF(OR(E120="",H120=""),"",E120*H120)</f>
        <v/>
      </c>
      <c r="M120" s="10" t="str">
        <f aca="false">IF(OR(J120="",H120="",H120=0),"",J120/H120)</f>
        <v/>
      </c>
      <c r="N120" s="10" t="str">
        <f aca="false">IF(OR(J120="",I120="",I120=0),"",J120/I120)</f>
        <v/>
      </c>
      <c r="O120" s="10" t="str">
        <f aca="false">IF(OR(J120="",L120="",L120=0),"",J120/L120)</f>
        <v/>
      </c>
      <c r="P120" s="6"/>
    </row>
    <row r="121" customFormat="false" ht="15" hidden="false" customHeight="false" outlineLevel="0" collapsed="false">
      <c r="A121" s="5"/>
      <c r="B121" s="6"/>
      <c r="C121" s="6"/>
      <c r="D121" s="6"/>
      <c r="E121" s="6"/>
      <c r="F121" s="6"/>
      <c r="G121" s="6"/>
      <c r="H121" s="6"/>
      <c r="I121" s="7"/>
      <c r="J121" s="8"/>
      <c r="K121" s="6"/>
      <c r="L121" s="9" t="str">
        <f aca="false">IF(OR(E121="",H121=""),"",E121*H121)</f>
        <v/>
      </c>
      <c r="M121" s="10" t="str">
        <f aca="false">IF(OR(J121="",H121="",H121=0),"",J121/H121)</f>
        <v/>
      </c>
      <c r="N121" s="10" t="str">
        <f aca="false">IF(OR(J121="",I121="",I121=0),"",J121/I121)</f>
        <v/>
      </c>
      <c r="O121" s="10" t="str">
        <f aca="false">IF(OR(J121="",L121="",L121=0),"",J121/L121)</f>
        <v/>
      </c>
      <c r="P121" s="6"/>
    </row>
    <row r="122" customFormat="false" ht="15" hidden="false" customHeight="false" outlineLevel="0" collapsed="false">
      <c r="A122" s="5"/>
      <c r="B122" s="6"/>
      <c r="C122" s="6"/>
      <c r="D122" s="6"/>
      <c r="E122" s="6"/>
      <c r="F122" s="6"/>
      <c r="G122" s="6"/>
      <c r="H122" s="6"/>
      <c r="I122" s="7"/>
      <c r="J122" s="8"/>
      <c r="K122" s="6"/>
      <c r="L122" s="9" t="str">
        <f aca="false">IF(OR(E122="",H122=""),"",E122*H122)</f>
        <v/>
      </c>
      <c r="M122" s="10" t="str">
        <f aca="false">IF(OR(J122="",H122="",H122=0),"",J122/H122)</f>
        <v/>
      </c>
      <c r="N122" s="10" t="str">
        <f aca="false">IF(OR(J122="",I122="",I122=0),"",J122/I122)</f>
        <v/>
      </c>
      <c r="O122" s="10" t="str">
        <f aca="false">IF(OR(J122="",L122="",L122=0),"",J122/L122)</f>
        <v/>
      </c>
      <c r="P122" s="6"/>
    </row>
    <row r="123" customFormat="false" ht="15" hidden="false" customHeight="false" outlineLevel="0" collapsed="false">
      <c r="A123" s="5"/>
      <c r="B123" s="6"/>
      <c r="C123" s="6"/>
      <c r="D123" s="6"/>
      <c r="E123" s="6"/>
      <c r="F123" s="6"/>
      <c r="G123" s="6"/>
      <c r="H123" s="6"/>
      <c r="I123" s="7"/>
      <c r="J123" s="8"/>
      <c r="K123" s="6"/>
      <c r="L123" s="9" t="str">
        <f aca="false">IF(OR(E123="",H123=""),"",E123*H123)</f>
        <v/>
      </c>
      <c r="M123" s="10" t="str">
        <f aca="false">IF(OR(J123="",H123="",H123=0),"",J123/H123)</f>
        <v/>
      </c>
      <c r="N123" s="10" t="str">
        <f aca="false">IF(OR(J123="",I123="",I123=0),"",J123/I123)</f>
        <v/>
      </c>
      <c r="O123" s="10" t="str">
        <f aca="false">IF(OR(J123="",L123="",L123=0),"",J123/L123)</f>
        <v/>
      </c>
      <c r="P123" s="6"/>
    </row>
    <row r="124" customFormat="false" ht="15" hidden="false" customHeight="false" outlineLevel="0" collapsed="false">
      <c r="A124" s="5"/>
      <c r="B124" s="6"/>
      <c r="C124" s="6"/>
      <c r="D124" s="6"/>
      <c r="E124" s="6"/>
      <c r="F124" s="6"/>
      <c r="G124" s="6"/>
      <c r="H124" s="6"/>
      <c r="I124" s="7"/>
      <c r="J124" s="8"/>
      <c r="K124" s="6"/>
      <c r="L124" s="9" t="str">
        <f aca="false">IF(OR(E124="",H124=""),"",E124*H124)</f>
        <v/>
      </c>
      <c r="M124" s="10" t="str">
        <f aca="false">IF(OR(J124="",H124="",H124=0),"",J124/H124)</f>
        <v/>
      </c>
      <c r="N124" s="10" t="str">
        <f aca="false">IF(OR(J124="",I124="",I124=0),"",J124/I124)</f>
        <v/>
      </c>
      <c r="O124" s="10" t="str">
        <f aca="false">IF(OR(J124="",L124="",L124=0),"",J124/L124)</f>
        <v/>
      </c>
      <c r="P124" s="6"/>
    </row>
    <row r="125" customFormat="false" ht="15" hidden="false" customHeight="false" outlineLevel="0" collapsed="false">
      <c r="A125" s="5"/>
      <c r="B125" s="6"/>
      <c r="C125" s="6"/>
      <c r="D125" s="6"/>
      <c r="E125" s="6"/>
      <c r="F125" s="6"/>
      <c r="G125" s="6"/>
      <c r="H125" s="6"/>
      <c r="I125" s="7"/>
      <c r="J125" s="8"/>
      <c r="K125" s="6"/>
      <c r="L125" s="9" t="str">
        <f aca="false">IF(OR(E125="",H125=""),"",E125*H125)</f>
        <v/>
      </c>
      <c r="M125" s="10" t="str">
        <f aca="false">IF(OR(J125="",H125="",H125=0),"",J125/H125)</f>
        <v/>
      </c>
      <c r="N125" s="10" t="str">
        <f aca="false">IF(OR(J125="",I125="",I125=0),"",J125/I125)</f>
        <v/>
      </c>
      <c r="O125" s="10" t="str">
        <f aca="false">IF(OR(J125="",L125="",L125=0),"",J125/L125)</f>
        <v/>
      </c>
      <c r="P125" s="6"/>
    </row>
    <row r="126" customFormat="false" ht="15" hidden="false" customHeight="false" outlineLevel="0" collapsed="false">
      <c r="A126" s="5"/>
      <c r="B126" s="6"/>
      <c r="C126" s="6"/>
      <c r="D126" s="6"/>
      <c r="E126" s="6"/>
      <c r="F126" s="6"/>
      <c r="G126" s="6"/>
      <c r="H126" s="6"/>
      <c r="I126" s="7"/>
      <c r="J126" s="8"/>
      <c r="K126" s="6"/>
      <c r="L126" s="9" t="str">
        <f aca="false">IF(OR(E126="",H126=""),"",E126*H126)</f>
        <v/>
      </c>
      <c r="M126" s="10" t="str">
        <f aca="false">IF(OR(J126="",H126="",H126=0),"",J126/H126)</f>
        <v/>
      </c>
      <c r="N126" s="10" t="str">
        <f aca="false">IF(OR(J126="",I126="",I126=0),"",J126/I126)</f>
        <v/>
      </c>
      <c r="O126" s="10" t="str">
        <f aca="false">IF(OR(J126="",L126="",L126=0),"",J126/L126)</f>
        <v/>
      </c>
      <c r="P126" s="6"/>
    </row>
    <row r="127" customFormat="false" ht="15" hidden="false" customHeight="false" outlineLevel="0" collapsed="false">
      <c r="A127" s="5"/>
      <c r="B127" s="6"/>
      <c r="C127" s="6"/>
      <c r="D127" s="6"/>
      <c r="E127" s="6"/>
      <c r="F127" s="6"/>
      <c r="G127" s="6"/>
      <c r="H127" s="6"/>
      <c r="I127" s="7"/>
      <c r="J127" s="8"/>
      <c r="K127" s="6"/>
      <c r="L127" s="9" t="str">
        <f aca="false">IF(OR(E127="",H127=""),"",E127*H127)</f>
        <v/>
      </c>
      <c r="M127" s="10" t="str">
        <f aca="false">IF(OR(J127="",H127="",H127=0),"",J127/H127)</f>
        <v/>
      </c>
      <c r="N127" s="10" t="str">
        <f aca="false">IF(OR(J127="",I127="",I127=0),"",J127/I127)</f>
        <v/>
      </c>
      <c r="O127" s="10" t="str">
        <f aca="false">IF(OR(J127="",L127="",L127=0),"",J127/L127)</f>
        <v/>
      </c>
      <c r="P127" s="6"/>
    </row>
    <row r="128" customFormat="false" ht="15" hidden="false" customHeight="false" outlineLevel="0" collapsed="false">
      <c r="A128" s="5"/>
      <c r="B128" s="6"/>
      <c r="C128" s="6"/>
      <c r="D128" s="6"/>
      <c r="E128" s="6"/>
      <c r="F128" s="6"/>
      <c r="G128" s="6"/>
      <c r="H128" s="6"/>
      <c r="I128" s="7"/>
      <c r="J128" s="8"/>
      <c r="K128" s="6"/>
      <c r="L128" s="9" t="str">
        <f aca="false">IF(OR(E128="",H128=""),"",E128*H128)</f>
        <v/>
      </c>
      <c r="M128" s="10" t="str">
        <f aca="false">IF(OR(J128="",H128="",H128=0),"",J128/H128)</f>
        <v/>
      </c>
      <c r="N128" s="10" t="str">
        <f aca="false">IF(OR(J128="",I128="",I128=0),"",J128/I128)</f>
        <v/>
      </c>
      <c r="O128" s="10" t="str">
        <f aca="false">IF(OR(J128="",L128="",L128=0),"",J128/L128)</f>
        <v/>
      </c>
      <c r="P128" s="6"/>
    </row>
    <row r="129" customFormat="false" ht="15" hidden="false" customHeight="false" outlineLevel="0" collapsed="false">
      <c r="A129" s="5"/>
      <c r="B129" s="6"/>
      <c r="C129" s="6"/>
      <c r="D129" s="6"/>
      <c r="E129" s="6"/>
      <c r="F129" s="6"/>
      <c r="G129" s="6"/>
      <c r="H129" s="6"/>
      <c r="I129" s="7"/>
      <c r="J129" s="8"/>
      <c r="K129" s="6"/>
      <c r="L129" s="9" t="str">
        <f aca="false">IF(OR(E129="",H129=""),"",E129*H129)</f>
        <v/>
      </c>
      <c r="M129" s="10" t="str">
        <f aca="false">IF(OR(J129="",H129="",H129=0),"",J129/H129)</f>
        <v/>
      </c>
      <c r="N129" s="10" t="str">
        <f aca="false">IF(OR(J129="",I129="",I129=0),"",J129/I129)</f>
        <v/>
      </c>
      <c r="O129" s="10" t="str">
        <f aca="false">IF(OR(J129="",L129="",L129=0),"",J129/L129)</f>
        <v/>
      </c>
      <c r="P129" s="6"/>
    </row>
    <row r="130" customFormat="false" ht="15" hidden="false" customHeight="false" outlineLevel="0" collapsed="false">
      <c r="A130" s="5"/>
      <c r="B130" s="6"/>
      <c r="C130" s="6"/>
      <c r="D130" s="6"/>
      <c r="E130" s="6"/>
      <c r="F130" s="6"/>
      <c r="G130" s="6"/>
      <c r="H130" s="6"/>
      <c r="I130" s="7"/>
      <c r="J130" s="8"/>
      <c r="K130" s="6"/>
      <c r="L130" s="9" t="str">
        <f aca="false">IF(OR(E130="",H130=""),"",E130*H130)</f>
        <v/>
      </c>
      <c r="M130" s="10" t="str">
        <f aca="false">IF(OR(J130="",H130="",H130=0),"",J130/H130)</f>
        <v/>
      </c>
      <c r="N130" s="10" t="str">
        <f aca="false">IF(OR(J130="",I130="",I130=0),"",J130/I130)</f>
        <v/>
      </c>
      <c r="O130" s="10" t="str">
        <f aca="false">IF(OR(J130="",L130="",L130=0),"",J130/L130)</f>
        <v/>
      </c>
      <c r="P130" s="6"/>
    </row>
    <row r="131" customFormat="false" ht="15" hidden="false" customHeight="false" outlineLevel="0" collapsed="false">
      <c r="A131" s="5"/>
      <c r="B131" s="6"/>
      <c r="C131" s="6"/>
      <c r="D131" s="6"/>
      <c r="E131" s="6"/>
      <c r="F131" s="6"/>
      <c r="G131" s="6"/>
      <c r="H131" s="6"/>
      <c r="I131" s="7"/>
      <c r="J131" s="8"/>
      <c r="K131" s="6"/>
      <c r="L131" s="9" t="str">
        <f aca="false">IF(OR(E131="",H131=""),"",E131*H131)</f>
        <v/>
      </c>
      <c r="M131" s="10" t="str">
        <f aca="false">IF(OR(J131="",H131="",H131=0),"",J131/H131)</f>
        <v/>
      </c>
      <c r="N131" s="10" t="str">
        <f aca="false">IF(OR(J131="",I131="",I131=0),"",J131/I131)</f>
        <v/>
      </c>
      <c r="O131" s="10" t="str">
        <f aca="false">IF(OR(J131="",L131="",L131=0),"",J131/L131)</f>
        <v/>
      </c>
      <c r="P131" s="6"/>
    </row>
    <row r="132" customFormat="false" ht="15" hidden="false" customHeight="false" outlineLevel="0" collapsed="false">
      <c r="A132" s="5"/>
      <c r="B132" s="6"/>
      <c r="C132" s="6"/>
      <c r="D132" s="6"/>
      <c r="E132" s="6"/>
      <c r="F132" s="6"/>
      <c r="G132" s="6"/>
      <c r="H132" s="6"/>
      <c r="I132" s="7"/>
      <c r="J132" s="8"/>
      <c r="K132" s="6"/>
      <c r="L132" s="9" t="str">
        <f aca="false">IF(OR(E132="",H132=""),"",E132*H132)</f>
        <v/>
      </c>
      <c r="M132" s="10" t="str">
        <f aca="false">IF(OR(J132="",H132="",H132=0),"",J132/H132)</f>
        <v/>
      </c>
      <c r="N132" s="10" t="str">
        <f aca="false">IF(OR(J132="",I132="",I132=0),"",J132/I132)</f>
        <v/>
      </c>
      <c r="O132" s="10" t="str">
        <f aca="false">IF(OR(J132="",L132="",L132=0),"",J132/L132)</f>
        <v/>
      </c>
      <c r="P132" s="6"/>
    </row>
    <row r="133" customFormat="false" ht="15" hidden="false" customHeight="false" outlineLevel="0" collapsed="false">
      <c r="A133" s="5"/>
      <c r="B133" s="6"/>
      <c r="C133" s="6"/>
      <c r="D133" s="6"/>
      <c r="E133" s="6"/>
      <c r="F133" s="6"/>
      <c r="G133" s="6"/>
      <c r="H133" s="6"/>
      <c r="I133" s="7"/>
      <c r="J133" s="8"/>
      <c r="K133" s="6"/>
      <c r="L133" s="9" t="str">
        <f aca="false">IF(OR(E133="",H133=""),"",E133*H133)</f>
        <v/>
      </c>
      <c r="M133" s="10" t="str">
        <f aca="false">IF(OR(J133="",H133="",H133=0),"",J133/H133)</f>
        <v/>
      </c>
      <c r="N133" s="10" t="str">
        <f aca="false">IF(OR(J133="",I133="",I133=0),"",J133/I133)</f>
        <v/>
      </c>
      <c r="O133" s="10" t="str">
        <f aca="false">IF(OR(J133="",L133="",L133=0),"",J133/L133)</f>
        <v/>
      </c>
      <c r="P133" s="6"/>
    </row>
    <row r="134" customFormat="false" ht="15" hidden="false" customHeight="false" outlineLevel="0" collapsed="false">
      <c r="A134" s="5"/>
      <c r="B134" s="6"/>
      <c r="C134" s="6"/>
      <c r="D134" s="6"/>
      <c r="E134" s="6"/>
      <c r="F134" s="6"/>
      <c r="G134" s="6"/>
      <c r="H134" s="6"/>
      <c r="I134" s="7"/>
      <c r="J134" s="8"/>
      <c r="K134" s="6"/>
      <c r="L134" s="9" t="str">
        <f aca="false">IF(OR(E134="",H134=""),"",E134*H134)</f>
        <v/>
      </c>
      <c r="M134" s="10" t="str">
        <f aca="false">IF(OR(J134="",H134="",H134=0),"",J134/H134)</f>
        <v/>
      </c>
      <c r="N134" s="10" t="str">
        <f aca="false">IF(OR(J134="",I134="",I134=0),"",J134/I134)</f>
        <v/>
      </c>
      <c r="O134" s="10" t="str">
        <f aca="false">IF(OR(J134="",L134="",L134=0),"",J134/L134)</f>
        <v/>
      </c>
      <c r="P134" s="6"/>
    </row>
    <row r="135" customFormat="false" ht="15" hidden="false" customHeight="false" outlineLevel="0" collapsed="false">
      <c r="A135" s="5"/>
      <c r="B135" s="6"/>
      <c r="C135" s="6"/>
      <c r="D135" s="6"/>
      <c r="E135" s="6"/>
      <c r="F135" s="6"/>
      <c r="G135" s="6"/>
      <c r="H135" s="6"/>
      <c r="I135" s="7"/>
      <c r="J135" s="8"/>
      <c r="K135" s="6"/>
      <c r="L135" s="9" t="str">
        <f aca="false">IF(OR(E135="",H135=""),"",E135*H135)</f>
        <v/>
      </c>
      <c r="M135" s="10" t="str">
        <f aca="false">IF(OR(J135="",H135="",H135=0),"",J135/H135)</f>
        <v/>
      </c>
      <c r="N135" s="10" t="str">
        <f aca="false">IF(OR(J135="",I135="",I135=0),"",J135/I135)</f>
        <v/>
      </c>
      <c r="O135" s="10" t="str">
        <f aca="false">IF(OR(J135="",L135="",L135=0),"",J135/L135)</f>
        <v/>
      </c>
      <c r="P135" s="6"/>
    </row>
    <row r="136" customFormat="false" ht="15" hidden="false" customHeight="false" outlineLevel="0" collapsed="false">
      <c r="A136" s="5"/>
      <c r="B136" s="6"/>
      <c r="C136" s="6"/>
      <c r="D136" s="6"/>
      <c r="E136" s="6"/>
      <c r="F136" s="6"/>
      <c r="G136" s="6"/>
      <c r="H136" s="6"/>
      <c r="I136" s="7"/>
      <c r="J136" s="8"/>
      <c r="K136" s="6"/>
      <c r="L136" s="9" t="str">
        <f aca="false">IF(OR(E136="",H136=""),"",E136*H136)</f>
        <v/>
      </c>
      <c r="M136" s="10" t="str">
        <f aca="false">IF(OR(J136="",H136="",H136=0),"",J136/H136)</f>
        <v/>
      </c>
      <c r="N136" s="10" t="str">
        <f aca="false">IF(OR(J136="",I136="",I136=0),"",J136/I136)</f>
        <v/>
      </c>
      <c r="O136" s="10" t="str">
        <f aca="false">IF(OR(J136="",L136="",L136=0),"",J136/L136)</f>
        <v/>
      </c>
      <c r="P136" s="6"/>
    </row>
    <row r="137" customFormat="false" ht="15" hidden="false" customHeight="false" outlineLevel="0" collapsed="false">
      <c r="A137" s="5"/>
      <c r="B137" s="6"/>
      <c r="C137" s="6"/>
      <c r="D137" s="6"/>
      <c r="E137" s="6"/>
      <c r="F137" s="6"/>
      <c r="G137" s="6"/>
      <c r="H137" s="6"/>
      <c r="I137" s="7"/>
      <c r="J137" s="8"/>
      <c r="K137" s="6"/>
      <c r="L137" s="9" t="str">
        <f aca="false">IF(OR(E137="",H137=""),"",E137*H137)</f>
        <v/>
      </c>
      <c r="M137" s="10" t="str">
        <f aca="false">IF(OR(J137="",H137="",H137=0),"",J137/H137)</f>
        <v/>
      </c>
      <c r="N137" s="10" t="str">
        <f aca="false">IF(OR(J137="",I137="",I137=0),"",J137/I137)</f>
        <v/>
      </c>
      <c r="O137" s="10" t="str">
        <f aca="false">IF(OR(J137="",L137="",L137=0),"",J137/L137)</f>
        <v/>
      </c>
      <c r="P137" s="6"/>
    </row>
    <row r="138" customFormat="false" ht="15" hidden="false" customHeight="false" outlineLevel="0" collapsed="false">
      <c r="A138" s="5"/>
      <c r="B138" s="6"/>
      <c r="C138" s="6"/>
      <c r="D138" s="6"/>
      <c r="E138" s="6"/>
      <c r="F138" s="6"/>
      <c r="G138" s="6"/>
      <c r="H138" s="6"/>
      <c r="I138" s="7"/>
      <c r="J138" s="8"/>
      <c r="K138" s="6"/>
      <c r="L138" s="9" t="str">
        <f aca="false">IF(OR(E138="",H138=""),"",E138*H138)</f>
        <v/>
      </c>
      <c r="M138" s="10" t="str">
        <f aca="false">IF(OR(J138="",H138="",H138=0),"",J138/H138)</f>
        <v/>
      </c>
      <c r="N138" s="10" t="str">
        <f aca="false">IF(OR(J138="",I138="",I138=0),"",J138/I138)</f>
        <v/>
      </c>
      <c r="O138" s="10" t="str">
        <f aca="false">IF(OR(J138="",L138="",L138=0),"",J138/L138)</f>
        <v/>
      </c>
      <c r="P138" s="6"/>
    </row>
    <row r="139" customFormat="false" ht="15" hidden="false" customHeight="false" outlineLevel="0" collapsed="false">
      <c r="A139" s="5"/>
      <c r="B139" s="6"/>
      <c r="C139" s="6"/>
      <c r="D139" s="6"/>
      <c r="E139" s="6"/>
      <c r="F139" s="6"/>
      <c r="G139" s="6"/>
      <c r="H139" s="6"/>
      <c r="I139" s="7"/>
      <c r="J139" s="8"/>
      <c r="K139" s="6"/>
      <c r="L139" s="9" t="str">
        <f aca="false">IF(OR(E139="",H139=""),"",E139*H139)</f>
        <v/>
      </c>
      <c r="M139" s="10" t="str">
        <f aca="false">IF(OR(J139="",H139="",H139=0),"",J139/H139)</f>
        <v/>
      </c>
      <c r="N139" s="10" t="str">
        <f aca="false">IF(OR(J139="",I139="",I139=0),"",J139/I139)</f>
        <v/>
      </c>
      <c r="O139" s="10" t="str">
        <f aca="false">IF(OR(J139="",L139="",L139=0),"",J139/L139)</f>
        <v/>
      </c>
      <c r="P139" s="6"/>
    </row>
    <row r="140" customFormat="false" ht="15" hidden="false" customHeight="false" outlineLevel="0" collapsed="false">
      <c r="A140" s="5"/>
      <c r="B140" s="6"/>
      <c r="C140" s="6"/>
      <c r="D140" s="6"/>
      <c r="E140" s="6"/>
      <c r="F140" s="6"/>
      <c r="G140" s="6"/>
      <c r="H140" s="6"/>
      <c r="I140" s="7"/>
      <c r="J140" s="8"/>
      <c r="K140" s="6"/>
      <c r="L140" s="9" t="str">
        <f aca="false">IF(OR(E140="",H140=""),"",E140*H140)</f>
        <v/>
      </c>
      <c r="M140" s="10" t="str">
        <f aca="false">IF(OR(J140="",H140="",H140=0),"",J140/H140)</f>
        <v/>
      </c>
      <c r="N140" s="10" t="str">
        <f aca="false">IF(OR(J140="",I140="",I140=0),"",J140/I140)</f>
        <v/>
      </c>
      <c r="O140" s="10" t="str">
        <f aca="false">IF(OR(J140="",L140="",L140=0),"",J140/L140)</f>
        <v/>
      </c>
      <c r="P140" s="6"/>
    </row>
    <row r="141" customFormat="false" ht="15" hidden="false" customHeight="false" outlineLevel="0" collapsed="false">
      <c r="A141" s="5"/>
      <c r="B141" s="6"/>
      <c r="C141" s="6"/>
      <c r="D141" s="6"/>
      <c r="E141" s="6"/>
      <c r="F141" s="6"/>
      <c r="G141" s="6"/>
      <c r="H141" s="6"/>
      <c r="I141" s="7"/>
      <c r="J141" s="8"/>
      <c r="K141" s="6"/>
      <c r="L141" s="9" t="str">
        <f aca="false">IF(OR(E141="",H141=""),"",E141*H141)</f>
        <v/>
      </c>
      <c r="M141" s="10" t="str">
        <f aca="false">IF(OR(J141="",H141="",H141=0),"",J141/H141)</f>
        <v/>
      </c>
      <c r="N141" s="10" t="str">
        <f aca="false">IF(OR(J141="",I141="",I141=0),"",J141/I141)</f>
        <v/>
      </c>
      <c r="O141" s="10" t="str">
        <f aca="false">IF(OR(J141="",L141="",L141=0),"",J141/L141)</f>
        <v/>
      </c>
      <c r="P141" s="6"/>
    </row>
    <row r="142" customFormat="false" ht="15" hidden="false" customHeight="false" outlineLevel="0" collapsed="false">
      <c r="A142" s="5"/>
      <c r="B142" s="6"/>
      <c r="C142" s="6"/>
      <c r="D142" s="6"/>
      <c r="E142" s="6"/>
      <c r="F142" s="6"/>
      <c r="G142" s="6"/>
      <c r="H142" s="6"/>
      <c r="I142" s="7"/>
      <c r="J142" s="8"/>
      <c r="K142" s="6"/>
      <c r="L142" s="9" t="str">
        <f aca="false">IF(OR(E142="",H142=""),"",E142*H142)</f>
        <v/>
      </c>
      <c r="M142" s="10" t="str">
        <f aca="false">IF(OR(J142="",H142="",H142=0),"",J142/H142)</f>
        <v/>
      </c>
      <c r="N142" s="10" t="str">
        <f aca="false">IF(OR(J142="",I142="",I142=0),"",J142/I142)</f>
        <v/>
      </c>
      <c r="O142" s="10" t="str">
        <f aca="false">IF(OR(J142="",L142="",L142=0),"",J142/L142)</f>
        <v/>
      </c>
      <c r="P142" s="6"/>
    </row>
    <row r="143" customFormat="false" ht="15" hidden="false" customHeight="false" outlineLevel="0" collapsed="false">
      <c r="A143" s="5"/>
      <c r="B143" s="6"/>
      <c r="C143" s="6"/>
      <c r="D143" s="6"/>
      <c r="E143" s="6"/>
      <c r="F143" s="6"/>
      <c r="G143" s="6"/>
      <c r="H143" s="6"/>
      <c r="I143" s="7"/>
      <c r="J143" s="8"/>
      <c r="K143" s="6"/>
      <c r="L143" s="9" t="str">
        <f aca="false">IF(OR(E143="",H143=""),"",E143*H143)</f>
        <v/>
      </c>
      <c r="M143" s="10" t="str">
        <f aca="false">IF(OR(J143="",H143="",H143=0),"",J143/H143)</f>
        <v/>
      </c>
      <c r="N143" s="10" t="str">
        <f aca="false">IF(OR(J143="",I143="",I143=0),"",J143/I143)</f>
        <v/>
      </c>
      <c r="O143" s="10" t="str">
        <f aca="false">IF(OR(J143="",L143="",L143=0),"",J143/L143)</f>
        <v/>
      </c>
      <c r="P143" s="6"/>
    </row>
    <row r="144" customFormat="false" ht="15" hidden="false" customHeight="false" outlineLevel="0" collapsed="false">
      <c r="A144" s="5"/>
      <c r="B144" s="6"/>
      <c r="C144" s="6"/>
      <c r="D144" s="6"/>
      <c r="E144" s="6"/>
      <c r="F144" s="6"/>
      <c r="G144" s="6"/>
      <c r="H144" s="6"/>
      <c r="I144" s="7"/>
      <c r="J144" s="8"/>
      <c r="K144" s="6"/>
      <c r="L144" s="9" t="str">
        <f aca="false">IF(OR(E144="",H144=""),"",E144*H144)</f>
        <v/>
      </c>
      <c r="M144" s="10" t="str">
        <f aca="false">IF(OR(J144="",H144="",H144=0),"",J144/H144)</f>
        <v/>
      </c>
      <c r="N144" s="10" t="str">
        <f aca="false">IF(OR(J144="",I144="",I144=0),"",J144/I144)</f>
        <v/>
      </c>
      <c r="O144" s="10" t="str">
        <f aca="false">IF(OR(J144="",L144="",L144=0),"",J144/L144)</f>
        <v/>
      </c>
      <c r="P144" s="6"/>
    </row>
    <row r="145" customFormat="false" ht="15" hidden="false" customHeight="false" outlineLevel="0" collapsed="false">
      <c r="A145" s="5"/>
      <c r="B145" s="6"/>
      <c r="C145" s="6"/>
      <c r="D145" s="6"/>
      <c r="E145" s="6"/>
      <c r="F145" s="6"/>
      <c r="G145" s="6"/>
      <c r="H145" s="6"/>
      <c r="I145" s="7"/>
      <c r="J145" s="8"/>
      <c r="K145" s="6"/>
      <c r="L145" s="9" t="str">
        <f aca="false">IF(OR(E145="",H145=""),"",E145*H145)</f>
        <v/>
      </c>
      <c r="M145" s="10" t="str">
        <f aca="false">IF(OR(J145="",H145="",H145=0),"",J145/H145)</f>
        <v/>
      </c>
      <c r="N145" s="10" t="str">
        <f aca="false">IF(OR(J145="",I145="",I145=0),"",J145/I145)</f>
        <v/>
      </c>
      <c r="O145" s="10" t="str">
        <f aca="false">IF(OR(J145="",L145="",L145=0),"",J145/L145)</f>
        <v/>
      </c>
      <c r="P145" s="6"/>
    </row>
    <row r="146" customFormat="false" ht="15" hidden="false" customHeight="false" outlineLevel="0" collapsed="false">
      <c r="A146" s="5"/>
      <c r="B146" s="6"/>
      <c r="C146" s="6"/>
      <c r="D146" s="6"/>
      <c r="E146" s="6"/>
      <c r="F146" s="6"/>
      <c r="G146" s="6"/>
      <c r="H146" s="6"/>
      <c r="I146" s="7"/>
      <c r="J146" s="8"/>
      <c r="K146" s="6"/>
      <c r="L146" s="9" t="str">
        <f aca="false">IF(OR(E146="",H146=""),"",E146*H146)</f>
        <v/>
      </c>
      <c r="M146" s="10" t="str">
        <f aca="false">IF(OR(J146="",H146="",H146=0),"",J146/H146)</f>
        <v/>
      </c>
      <c r="N146" s="10" t="str">
        <f aca="false">IF(OR(J146="",I146="",I146=0),"",J146/I146)</f>
        <v/>
      </c>
      <c r="O146" s="10" t="str">
        <f aca="false">IF(OR(J146="",L146="",L146=0),"",J146/L146)</f>
        <v/>
      </c>
      <c r="P146" s="6"/>
    </row>
    <row r="147" customFormat="false" ht="15" hidden="false" customHeight="false" outlineLevel="0" collapsed="false">
      <c r="A147" s="5"/>
      <c r="B147" s="6"/>
      <c r="C147" s="6"/>
      <c r="D147" s="6"/>
      <c r="E147" s="6"/>
      <c r="F147" s="6"/>
      <c r="G147" s="6"/>
      <c r="H147" s="6"/>
      <c r="I147" s="7"/>
      <c r="J147" s="8"/>
      <c r="K147" s="6"/>
      <c r="L147" s="9" t="str">
        <f aca="false">IF(OR(E147="",H147=""),"",E147*H147)</f>
        <v/>
      </c>
      <c r="M147" s="10" t="str">
        <f aca="false">IF(OR(J147="",H147="",H147=0),"",J147/H147)</f>
        <v/>
      </c>
      <c r="N147" s="10" t="str">
        <f aca="false">IF(OR(J147="",I147="",I147=0),"",J147/I147)</f>
        <v/>
      </c>
      <c r="O147" s="10" t="str">
        <f aca="false">IF(OR(J147="",L147="",L147=0),"",J147/L147)</f>
        <v/>
      </c>
      <c r="P147" s="6"/>
    </row>
    <row r="148" customFormat="false" ht="15" hidden="false" customHeight="false" outlineLevel="0" collapsed="false">
      <c r="A148" s="5"/>
      <c r="B148" s="6"/>
      <c r="C148" s="6"/>
      <c r="D148" s="6"/>
      <c r="E148" s="6"/>
      <c r="F148" s="6"/>
      <c r="G148" s="6"/>
      <c r="H148" s="6"/>
      <c r="I148" s="7"/>
      <c r="J148" s="8"/>
      <c r="K148" s="6"/>
      <c r="L148" s="9" t="str">
        <f aca="false">IF(OR(E148="",H148=""),"",E148*H148)</f>
        <v/>
      </c>
      <c r="M148" s="10" t="str">
        <f aca="false">IF(OR(J148="",H148="",H148=0),"",J148/H148)</f>
        <v/>
      </c>
      <c r="N148" s="10" t="str">
        <f aca="false">IF(OR(J148="",I148="",I148=0),"",J148/I148)</f>
        <v/>
      </c>
      <c r="O148" s="10" t="str">
        <f aca="false">IF(OR(J148="",L148="",L148=0),"",J148/L148)</f>
        <v/>
      </c>
      <c r="P148" s="6"/>
    </row>
    <row r="149" customFormat="false" ht="15" hidden="false" customHeight="false" outlineLevel="0" collapsed="false">
      <c r="A149" s="5"/>
      <c r="B149" s="6"/>
      <c r="C149" s="6"/>
      <c r="D149" s="6"/>
      <c r="E149" s="6"/>
      <c r="F149" s="6"/>
      <c r="G149" s="6"/>
      <c r="H149" s="6"/>
      <c r="I149" s="7"/>
      <c r="J149" s="8"/>
      <c r="K149" s="6"/>
      <c r="L149" s="9" t="str">
        <f aca="false">IF(OR(E149="",H149=""),"",E149*H149)</f>
        <v/>
      </c>
      <c r="M149" s="10" t="str">
        <f aca="false">IF(OR(J149="",H149="",H149=0),"",J149/H149)</f>
        <v/>
      </c>
      <c r="N149" s="10" t="str">
        <f aca="false">IF(OR(J149="",I149="",I149=0),"",J149/I149)</f>
        <v/>
      </c>
      <c r="O149" s="10" t="str">
        <f aca="false">IF(OR(J149="",L149="",L149=0),"",J149/L149)</f>
        <v/>
      </c>
      <c r="P149" s="6"/>
    </row>
    <row r="150" customFormat="false" ht="15" hidden="false" customHeight="false" outlineLevel="0" collapsed="false">
      <c r="A150" s="5"/>
      <c r="B150" s="6"/>
      <c r="C150" s="6"/>
      <c r="D150" s="6"/>
      <c r="E150" s="6"/>
      <c r="F150" s="6"/>
      <c r="G150" s="6"/>
      <c r="H150" s="6"/>
      <c r="I150" s="7"/>
      <c r="J150" s="8"/>
      <c r="K150" s="6"/>
      <c r="L150" s="9" t="str">
        <f aca="false">IF(OR(E150="",H150=""),"",E150*H150)</f>
        <v/>
      </c>
      <c r="M150" s="10" t="str">
        <f aca="false">IF(OR(J150="",H150="",H150=0),"",J150/H150)</f>
        <v/>
      </c>
      <c r="N150" s="10" t="str">
        <f aca="false">IF(OR(J150="",I150="",I150=0),"",J150/I150)</f>
        <v/>
      </c>
      <c r="O150" s="10" t="str">
        <f aca="false">IF(OR(J150="",L150="",L150=0),"",J150/L150)</f>
        <v/>
      </c>
      <c r="P150" s="6"/>
    </row>
    <row r="151" customFormat="false" ht="15" hidden="false" customHeight="false" outlineLevel="0" collapsed="false">
      <c r="A151" s="5"/>
      <c r="B151" s="6"/>
      <c r="C151" s="6"/>
      <c r="D151" s="6"/>
      <c r="E151" s="6"/>
      <c r="F151" s="6"/>
      <c r="G151" s="6"/>
      <c r="H151" s="6"/>
      <c r="I151" s="7"/>
      <c r="J151" s="8"/>
      <c r="K151" s="6"/>
      <c r="L151" s="9" t="str">
        <f aca="false">IF(OR(E151="",H151=""),"",E151*H151)</f>
        <v/>
      </c>
      <c r="M151" s="10" t="str">
        <f aca="false">IF(OR(J151="",H151="",H151=0),"",J151/H151)</f>
        <v/>
      </c>
      <c r="N151" s="10" t="str">
        <f aca="false">IF(OR(J151="",I151="",I151=0),"",J151/I151)</f>
        <v/>
      </c>
      <c r="O151" s="10" t="str">
        <f aca="false">IF(OR(J151="",L151="",L151=0),"",J151/L151)</f>
        <v/>
      </c>
      <c r="P151" s="6"/>
    </row>
    <row r="152" customFormat="false" ht="15" hidden="false" customHeight="false" outlineLevel="0" collapsed="false">
      <c r="A152" s="5"/>
      <c r="B152" s="6"/>
      <c r="C152" s="6"/>
      <c r="D152" s="6"/>
      <c r="E152" s="6"/>
      <c r="F152" s="6"/>
      <c r="G152" s="6"/>
      <c r="H152" s="6"/>
      <c r="I152" s="7"/>
      <c r="J152" s="8"/>
      <c r="K152" s="6"/>
      <c r="L152" s="9" t="str">
        <f aca="false">IF(OR(E152="",H152=""),"",E152*H152)</f>
        <v/>
      </c>
      <c r="M152" s="10" t="str">
        <f aca="false">IF(OR(J152="",H152="",H152=0),"",J152/H152)</f>
        <v/>
      </c>
      <c r="N152" s="10" t="str">
        <f aca="false">IF(OR(J152="",I152="",I152=0),"",J152/I152)</f>
        <v/>
      </c>
      <c r="O152" s="10" t="str">
        <f aca="false">IF(OR(J152="",L152="",L152=0),"",J152/L152)</f>
        <v/>
      </c>
      <c r="P152" s="6"/>
    </row>
    <row r="153" customFormat="false" ht="15" hidden="false" customHeight="false" outlineLevel="0" collapsed="false">
      <c r="A153" s="5"/>
      <c r="B153" s="6"/>
      <c r="C153" s="6"/>
      <c r="D153" s="6"/>
      <c r="E153" s="6"/>
      <c r="F153" s="6"/>
      <c r="G153" s="6"/>
      <c r="H153" s="6"/>
      <c r="I153" s="7"/>
      <c r="J153" s="8"/>
      <c r="K153" s="6"/>
      <c r="L153" s="9" t="str">
        <f aca="false">IF(OR(E153="",H153=""),"",E153*H153)</f>
        <v/>
      </c>
      <c r="M153" s="10" t="str">
        <f aca="false">IF(OR(J153="",H153="",H153=0),"",J153/H153)</f>
        <v/>
      </c>
      <c r="N153" s="10" t="str">
        <f aca="false">IF(OR(J153="",I153="",I153=0),"",J153/I153)</f>
        <v/>
      </c>
      <c r="O153" s="10" t="str">
        <f aca="false">IF(OR(J153="",L153="",L153=0),"",J153/L153)</f>
        <v/>
      </c>
      <c r="P153" s="6"/>
    </row>
    <row r="154" customFormat="false" ht="15" hidden="false" customHeight="false" outlineLevel="0" collapsed="false">
      <c r="A154" s="5"/>
      <c r="B154" s="6"/>
      <c r="C154" s="6"/>
      <c r="D154" s="6"/>
      <c r="E154" s="6"/>
      <c r="F154" s="6"/>
      <c r="G154" s="6"/>
      <c r="H154" s="6"/>
      <c r="I154" s="7"/>
      <c r="J154" s="8"/>
      <c r="K154" s="6"/>
      <c r="L154" s="9" t="str">
        <f aca="false">IF(OR(E154="",H154=""),"",E154*H154)</f>
        <v/>
      </c>
      <c r="M154" s="10" t="str">
        <f aca="false">IF(OR(J154="",H154="",H154=0),"",J154/H154)</f>
        <v/>
      </c>
      <c r="N154" s="10" t="str">
        <f aca="false">IF(OR(J154="",I154="",I154=0),"",J154/I154)</f>
        <v/>
      </c>
      <c r="O154" s="10" t="str">
        <f aca="false">IF(OR(J154="",L154="",L154=0),"",J154/L154)</f>
        <v/>
      </c>
      <c r="P154" s="6"/>
    </row>
    <row r="155" customFormat="false" ht="15" hidden="false" customHeight="false" outlineLevel="0" collapsed="false">
      <c r="A155" s="5"/>
      <c r="B155" s="6"/>
      <c r="C155" s="6"/>
      <c r="D155" s="6"/>
      <c r="E155" s="6"/>
      <c r="F155" s="6"/>
      <c r="G155" s="6"/>
      <c r="H155" s="6"/>
      <c r="I155" s="7"/>
      <c r="J155" s="8"/>
      <c r="K155" s="6"/>
      <c r="L155" s="9" t="str">
        <f aca="false">IF(OR(E155="",H155=""),"",E155*H155)</f>
        <v/>
      </c>
      <c r="M155" s="10" t="str">
        <f aca="false">IF(OR(J155="",H155="",H155=0),"",J155/H155)</f>
        <v/>
      </c>
      <c r="N155" s="10" t="str">
        <f aca="false">IF(OR(J155="",I155="",I155=0),"",J155/I155)</f>
        <v/>
      </c>
      <c r="O155" s="10" t="str">
        <f aca="false">IF(OR(J155="",L155="",L155=0),"",J155/L155)</f>
        <v/>
      </c>
      <c r="P155" s="6"/>
    </row>
    <row r="156" customFormat="false" ht="15" hidden="false" customHeight="false" outlineLevel="0" collapsed="false">
      <c r="A156" s="5"/>
      <c r="B156" s="6"/>
      <c r="C156" s="6"/>
      <c r="D156" s="6"/>
      <c r="E156" s="6"/>
      <c r="F156" s="6"/>
      <c r="G156" s="6"/>
      <c r="H156" s="6"/>
      <c r="I156" s="7"/>
      <c r="J156" s="8"/>
      <c r="K156" s="6"/>
      <c r="L156" s="9" t="str">
        <f aca="false">IF(OR(E156="",H156=""),"",E156*H156)</f>
        <v/>
      </c>
      <c r="M156" s="10" t="str">
        <f aca="false">IF(OR(J156="",H156="",H156=0),"",J156/H156)</f>
        <v/>
      </c>
      <c r="N156" s="10" t="str">
        <f aca="false">IF(OR(J156="",I156="",I156=0),"",J156/I156)</f>
        <v/>
      </c>
      <c r="O156" s="10" t="str">
        <f aca="false">IF(OR(J156="",L156="",L156=0),"",J156/L156)</f>
        <v/>
      </c>
      <c r="P156" s="6"/>
    </row>
    <row r="157" customFormat="false" ht="15" hidden="false" customHeight="false" outlineLevel="0" collapsed="false">
      <c r="A157" s="5"/>
      <c r="B157" s="6"/>
      <c r="C157" s="6"/>
      <c r="D157" s="6"/>
      <c r="E157" s="6"/>
      <c r="F157" s="6"/>
      <c r="G157" s="6"/>
      <c r="H157" s="6"/>
      <c r="I157" s="7"/>
      <c r="J157" s="8"/>
      <c r="K157" s="6"/>
      <c r="L157" s="9" t="str">
        <f aca="false">IF(OR(E157="",H157=""),"",E157*H157)</f>
        <v/>
      </c>
      <c r="M157" s="10" t="str">
        <f aca="false">IF(OR(J157="",H157="",H157=0),"",J157/H157)</f>
        <v/>
      </c>
      <c r="N157" s="10" t="str">
        <f aca="false">IF(OR(J157="",I157="",I157=0),"",J157/I157)</f>
        <v/>
      </c>
      <c r="O157" s="10" t="str">
        <f aca="false">IF(OR(J157="",L157="",L157=0),"",J157/L157)</f>
        <v/>
      </c>
      <c r="P157" s="6"/>
    </row>
    <row r="158" customFormat="false" ht="15" hidden="false" customHeight="false" outlineLevel="0" collapsed="false">
      <c r="A158" s="5"/>
      <c r="B158" s="6"/>
      <c r="C158" s="6"/>
      <c r="D158" s="6"/>
      <c r="E158" s="6"/>
      <c r="F158" s="6"/>
      <c r="G158" s="6"/>
      <c r="H158" s="6"/>
      <c r="I158" s="7"/>
      <c r="J158" s="8"/>
      <c r="K158" s="6"/>
      <c r="L158" s="9" t="str">
        <f aca="false">IF(OR(E158="",H158=""),"",E158*H158)</f>
        <v/>
      </c>
      <c r="M158" s="10" t="str">
        <f aca="false">IF(OR(J158="",H158="",H158=0),"",J158/H158)</f>
        <v/>
      </c>
      <c r="N158" s="10" t="str">
        <f aca="false">IF(OR(J158="",I158="",I158=0),"",J158/I158)</f>
        <v/>
      </c>
      <c r="O158" s="10" t="str">
        <f aca="false">IF(OR(J158="",L158="",L158=0),"",J158/L158)</f>
        <v/>
      </c>
      <c r="P158" s="6"/>
    </row>
    <row r="159" customFormat="false" ht="15" hidden="false" customHeight="false" outlineLevel="0" collapsed="false">
      <c r="A159" s="5"/>
      <c r="B159" s="6"/>
      <c r="C159" s="6"/>
      <c r="D159" s="6"/>
      <c r="E159" s="6"/>
      <c r="F159" s="6"/>
      <c r="G159" s="6"/>
      <c r="H159" s="6"/>
      <c r="I159" s="7"/>
      <c r="J159" s="8"/>
      <c r="K159" s="6"/>
      <c r="L159" s="9" t="str">
        <f aca="false">IF(OR(E159="",H159=""),"",E159*H159)</f>
        <v/>
      </c>
      <c r="M159" s="10" t="str">
        <f aca="false">IF(OR(J159="",H159="",H159=0),"",J159/H159)</f>
        <v/>
      </c>
      <c r="N159" s="10" t="str">
        <f aca="false">IF(OR(J159="",I159="",I159=0),"",J159/I159)</f>
        <v/>
      </c>
      <c r="O159" s="10" t="str">
        <f aca="false">IF(OR(J159="",L159="",L159=0),"",J159/L159)</f>
        <v/>
      </c>
      <c r="P159" s="6"/>
    </row>
    <row r="160" customFormat="false" ht="15" hidden="false" customHeight="false" outlineLevel="0" collapsed="false">
      <c r="A160" s="5"/>
      <c r="B160" s="6"/>
      <c r="C160" s="6"/>
      <c r="D160" s="6"/>
      <c r="E160" s="6"/>
      <c r="F160" s="6"/>
      <c r="G160" s="6"/>
      <c r="H160" s="6"/>
      <c r="I160" s="7"/>
      <c r="J160" s="8"/>
      <c r="K160" s="6"/>
      <c r="L160" s="9" t="str">
        <f aca="false">IF(OR(E160="",H160=""),"",E160*H160)</f>
        <v/>
      </c>
      <c r="M160" s="10" t="str">
        <f aca="false">IF(OR(J160="",H160="",H160=0),"",J160/H160)</f>
        <v/>
      </c>
      <c r="N160" s="10" t="str">
        <f aca="false">IF(OR(J160="",I160="",I160=0),"",J160/I160)</f>
        <v/>
      </c>
      <c r="O160" s="10" t="str">
        <f aca="false">IF(OR(J160="",L160="",L160=0),"",J160/L160)</f>
        <v/>
      </c>
      <c r="P160" s="6"/>
    </row>
    <row r="161" customFormat="false" ht="15" hidden="false" customHeight="false" outlineLevel="0" collapsed="false">
      <c r="A161" s="5"/>
      <c r="B161" s="6"/>
      <c r="C161" s="6"/>
      <c r="D161" s="6"/>
      <c r="E161" s="6"/>
      <c r="F161" s="6"/>
      <c r="G161" s="6"/>
      <c r="H161" s="6"/>
      <c r="I161" s="7"/>
      <c r="J161" s="8"/>
      <c r="K161" s="6"/>
      <c r="L161" s="9" t="str">
        <f aca="false">IF(OR(E161="",H161=""),"",E161*H161)</f>
        <v/>
      </c>
      <c r="M161" s="10" t="str">
        <f aca="false">IF(OR(J161="",H161="",H161=0),"",J161/H161)</f>
        <v/>
      </c>
      <c r="N161" s="10" t="str">
        <f aca="false">IF(OR(J161="",I161="",I161=0),"",J161/I161)</f>
        <v/>
      </c>
      <c r="O161" s="10" t="str">
        <f aca="false">IF(OR(J161="",L161="",L161=0),"",J161/L161)</f>
        <v/>
      </c>
      <c r="P161" s="6"/>
    </row>
    <row r="162" customFormat="false" ht="15" hidden="false" customHeight="false" outlineLevel="0" collapsed="false">
      <c r="A162" s="5"/>
      <c r="B162" s="6"/>
      <c r="C162" s="6"/>
      <c r="D162" s="6"/>
      <c r="E162" s="6"/>
      <c r="F162" s="6"/>
      <c r="G162" s="6"/>
      <c r="H162" s="6"/>
      <c r="I162" s="7"/>
      <c r="J162" s="8"/>
      <c r="K162" s="6"/>
      <c r="L162" s="9" t="str">
        <f aca="false">IF(OR(E162="",H162=""),"",E162*H162)</f>
        <v/>
      </c>
      <c r="M162" s="10" t="str">
        <f aca="false">IF(OR(J162="",H162="",H162=0),"",J162/H162)</f>
        <v/>
      </c>
      <c r="N162" s="10" t="str">
        <f aca="false">IF(OR(J162="",I162="",I162=0),"",J162/I162)</f>
        <v/>
      </c>
      <c r="O162" s="10" t="str">
        <f aca="false">IF(OR(J162="",L162="",L162=0),"",J162/L162)</f>
        <v/>
      </c>
      <c r="P162" s="6"/>
    </row>
    <row r="163" customFormat="false" ht="15" hidden="false" customHeight="false" outlineLevel="0" collapsed="false">
      <c r="A163" s="5"/>
      <c r="B163" s="6"/>
      <c r="C163" s="6"/>
      <c r="D163" s="6"/>
      <c r="E163" s="6"/>
      <c r="F163" s="6"/>
      <c r="G163" s="6"/>
      <c r="H163" s="6"/>
      <c r="I163" s="7"/>
      <c r="J163" s="8"/>
      <c r="K163" s="6"/>
      <c r="L163" s="9" t="str">
        <f aca="false">IF(OR(E163="",H163=""),"",E163*H163)</f>
        <v/>
      </c>
      <c r="M163" s="10" t="str">
        <f aca="false">IF(OR(J163="",H163="",H163=0),"",J163/H163)</f>
        <v/>
      </c>
      <c r="N163" s="10" t="str">
        <f aca="false">IF(OR(J163="",I163="",I163=0),"",J163/I163)</f>
        <v/>
      </c>
      <c r="O163" s="10" t="str">
        <f aca="false">IF(OR(J163="",L163="",L163=0),"",J163/L163)</f>
        <v/>
      </c>
      <c r="P163" s="6"/>
    </row>
    <row r="164" customFormat="false" ht="15" hidden="false" customHeight="false" outlineLevel="0" collapsed="false">
      <c r="A164" s="5"/>
      <c r="B164" s="6"/>
      <c r="C164" s="6"/>
      <c r="D164" s="6"/>
      <c r="E164" s="6"/>
      <c r="F164" s="6"/>
      <c r="G164" s="6"/>
      <c r="H164" s="6"/>
      <c r="I164" s="7"/>
      <c r="J164" s="8"/>
      <c r="K164" s="6"/>
      <c r="L164" s="9" t="str">
        <f aca="false">IF(OR(E164="",H164=""),"",E164*H164)</f>
        <v/>
      </c>
      <c r="M164" s="10" t="str">
        <f aca="false">IF(OR(J164="",H164="",H164=0),"",J164/H164)</f>
        <v/>
      </c>
      <c r="N164" s="10" t="str">
        <f aca="false">IF(OR(J164="",I164="",I164=0),"",J164/I164)</f>
        <v/>
      </c>
      <c r="O164" s="10" t="str">
        <f aca="false">IF(OR(J164="",L164="",L164=0),"",J164/L164)</f>
        <v/>
      </c>
      <c r="P164" s="6"/>
    </row>
    <row r="165" customFormat="false" ht="15" hidden="false" customHeight="false" outlineLevel="0" collapsed="false">
      <c r="A165" s="5"/>
      <c r="B165" s="6"/>
      <c r="C165" s="6"/>
      <c r="D165" s="6"/>
      <c r="E165" s="6"/>
      <c r="F165" s="6"/>
      <c r="G165" s="6"/>
      <c r="H165" s="6"/>
      <c r="I165" s="7"/>
      <c r="J165" s="8"/>
      <c r="K165" s="6"/>
      <c r="L165" s="9" t="str">
        <f aca="false">IF(OR(E165="",H165=""),"",E165*H165)</f>
        <v/>
      </c>
      <c r="M165" s="10" t="str">
        <f aca="false">IF(OR(J165="",H165="",H165=0),"",J165/H165)</f>
        <v/>
      </c>
      <c r="N165" s="10" t="str">
        <f aca="false">IF(OR(J165="",I165="",I165=0),"",J165/I165)</f>
        <v/>
      </c>
      <c r="O165" s="10" t="str">
        <f aca="false">IF(OR(J165="",L165="",L165=0),"",J165/L165)</f>
        <v/>
      </c>
      <c r="P165" s="6"/>
    </row>
    <row r="166" customFormat="false" ht="15" hidden="false" customHeight="false" outlineLevel="0" collapsed="false">
      <c r="A166" s="5"/>
      <c r="B166" s="6"/>
      <c r="C166" s="6"/>
      <c r="D166" s="6"/>
      <c r="E166" s="6"/>
      <c r="F166" s="6"/>
      <c r="G166" s="6"/>
      <c r="H166" s="6"/>
      <c r="I166" s="7"/>
      <c r="J166" s="8"/>
      <c r="K166" s="6"/>
      <c r="L166" s="9" t="str">
        <f aca="false">IF(OR(E166="",H166=""),"",E166*H166)</f>
        <v/>
      </c>
      <c r="M166" s="10" t="str">
        <f aca="false">IF(OR(J166="",H166="",H166=0),"",J166/H166)</f>
        <v/>
      </c>
      <c r="N166" s="10" t="str">
        <f aca="false">IF(OR(J166="",I166="",I166=0),"",J166/I166)</f>
        <v/>
      </c>
      <c r="O166" s="10" t="str">
        <f aca="false">IF(OR(J166="",L166="",L166=0),"",J166/L166)</f>
        <v/>
      </c>
      <c r="P166" s="6"/>
    </row>
    <row r="167" customFormat="false" ht="15" hidden="false" customHeight="false" outlineLevel="0" collapsed="false">
      <c r="A167" s="5"/>
      <c r="B167" s="6"/>
      <c r="C167" s="6"/>
      <c r="D167" s="6"/>
      <c r="E167" s="6"/>
      <c r="F167" s="6"/>
      <c r="G167" s="6"/>
      <c r="H167" s="6"/>
      <c r="I167" s="7"/>
      <c r="J167" s="8"/>
      <c r="K167" s="6"/>
      <c r="L167" s="9" t="str">
        <f aca="false">IF(OR(E167="",H167=""),"",E167*H167)</f>
        <v/>
      </c>
      <c r="M167" s="10" t="str">
        <f aca="false">IF(OR(J167="",H167="",H167=0),"",J167/H167)</f>
        <v/>
      </c>
      <c r="N167" s="10" t="str">
        <f aca="false">IF(OR(J167="",I167="",I167=0),"",J167/I167)</f>
        <v/>
      </c>
      <c r="O167" s="10" t="str">
        <f aca="false">IF(OR(J167="",L167="",L167=0),"",J167/L167)</f>
        <v/>
      </c>
      <c r="P167" s="6"/>
    </row>
    <row r="168" customFormat="false" ht="15" hidden="false" customHeight="false" outlineLevel="0" collapsed="false">
      <c r="A168" s="5"/>
      <c r="B168" s="6"/>
      <c r="C168" s="6"/>
      <c r="D168" s="6"/>
      <c r="E168" s="6"/>
      <c r="F168" s="6"/>
      <c r="G168" s="6"/>
      <c r="H168" s="6"/>
      <c r="I168" s="7"/>
      <c r="J168" s="8"/>
      <c r="K168" s="6"/>
      <c r="L168" s="9" t="str">
        <f aca="false">IF(OR(E168="",H168=""),"",E168*H168)</f>
        <v/>
      </c>
      <c r="M168" s="10" t="str">
        <f aca="false">IF(OR(J168="",H168="",H168=0),"",J168/H168)</f>
        <v/>
      </c>
      <c r="N168" s="10" t="str">
        <f aca="false">IF(OR(J168="",I168="",I168=0),"",J168/I168)</f>
        <v/>
      </c>
      <c r="O168" s="10" t="str">
        <f aca="false">IF(OR(J168="",L168="",L168=0),"",J168/L168)</f>
        <v/>
      </c>
      <c r="P168" s="6"/>
    </row>
    <row r="169" customFormat="false" ht="15" hidden="false" customHeight="false" outlineLevel="0" collapsed="false">
      <c r="A169" s="5"/>
      <c r="B169" s="6"/>
      <c r="C169" s="6"/>
      <c r="D169" s="6"/>
      <c r="E169" s="6"/>
      <c r="F169" s="6"/>
      <c r="G169" s="6"/>
      <c r="H169" s="6"/>
      <c r="I169" s="7"/>
      <c r="J169" s="8"/>
      <c r="K169" s="6"/>
      <c r="L169" s="9" t="str">
        <f aca="false">IF(OR(E169="",H169=""),"",E169*H169)</f>
        <v/>
      </c>
      <c r="M169" s="10" t="str">
        <f aca="false">IF(OR(J169="",H169="",H169=0),"",J169/H169)</f>
        <v/>
      </c>
      <c r="N169" s="10" t="str">
        <f aca="false">IF(OR(J169="",I169="",I169=0),"",J169/I169)</f>
        <v/>
      </c>
      <c r="O169" s="10" t="str">
        <f aca="false">IF(OR(J169="",L169="",L169=0),"",J169/L169)</f>
        <v/>
      </c>
      <c r="P169" s="6"/>
    </row>
    <row r="170" customFormat="false" ht="15" hidden="false" customHeight="false" outlineLevel="0" collapsed="false">
      <c r="A170" s="5"/>
      <c r="B170" s="6"/>
      <c r="C170" s="6"/>
      <c r="D170" s="6"/>
      <c r="E170" s="6"/>
      <c r="F170" s="6"/>
      <c r="G170" s="6"/>
      <c r="H170" s="6"/>
      <c r="I170" s="7"/>
      <c r="J170" s="8"/>
      <c r="K170" s="6"/>
      <c r="L170" s="9" t="str">
        <f aca="false">IF(OR(E170="",H170=""),"",E170*H170)</f>
        <v/>
      </c>
      <c r="M170" s="10" t="str">
        <f aca="false">IF(OR(J170="",H170="",H170=0),"",J170/H170)</f>
        <v/>
      </c>
      <c r="N170" s="10" t="str">
        <f aca="false">IF(OR(J170="",I170="",I170=0),"",J170/I170)</f>
        <v/>
      </c>
      <c r="O170" s="10" t="str">
        <f aca="false">IF(OR(J170="",L170="",L170=0),"",J170/L170)</f>
        <v/>
      </c>
      <c r="P170" s="6"/>
    </row>
    <row r="171" customFormat="false" ht="15" hidden="false" customHeight="false" outlineLevel="0" collapsed="false">
      <c r="A171" s="5"/>
      <c r="B171" s="6"/>
      <c r="C171" s="6"/>
      <c r="D171" s="6"/>
      <c r="E171" s="6"/>
      <c r="F171" s="6"/>
      <c r="G171" s="6"/>
      <c r="H171" s="6"/>
      <c r="I171" s="7"/>
      <c r="J171" s="8"/>
      <c r="K171" s="6"/>
      <c r="L171" s="9" t="str">
        <f aca="false">IF(OR(E171="",H171=""),"",E171*H171)</f>
        <v/>
      </c>
      <c r="M171" s="10" t="str">
        <f aca="false">IF(OR(J171="",H171="",H171=0),"",J171/H171)</f>
        <v/>
      </c>
      <c r="N171" s="10" t="str">
        <f aca="false">IF(OR(J171="",I171="",I171=0),"",J171/I171)</f>
        <v/>
      </c>
      <c r="O171" s="10" t="str">
        <f aca="false">IF(OR(J171="",L171="",L171=0),"",J171/L171)</f>
        <v/>
      </c>
      <c r="P171" s="6"/>
    </row>
    <row r="172" customFormat="false" ht="15" hidden="false" customHeight="false" outlineLevel="0" collapsed="false">
      <c r="A172" s="5"/>
      <c r="B172" s="6"/>
      <c r="C172" s="6"/>
      <c r="D172" s="6"/>
      <c r="E172" s="6"/>
      <c r="F172" s="6"/>
      <c r="G172" s="6"/>
      <c r="H172" s="6"/>
      <c r="I172" s="7"/>
      <c r="J172" s="8"/>
      <c r="K172" s="6"/>
      <c r="L172" s="9" t="str">
        <f aca="false">IF(OR(E172="",H172=""),"",E172*H172)</f>
        <v/>
      </c>
      <c r="M172" s="10" t="str">
        <f aca="false">IF(OR(J172="",H172="",H172=0),"",J172/H172)</f>
        <v/>
      </c>
      <c r="N172" s="10" t="str">
        <f aca="false">IF(OR(J172="",I172="",I172=0),"",J172/I172)</f>
        <v/>
      </c>
      <c r="O172" s="10" t="str">
        <f aca="false">IF(OR(J172="",L172="",L172=0),"",J172/L172)</f>
        <v/>
      </c>
      <c r="P172" s="6"/>
    </row>
    <row r="173" customFormat="false" ht="15" hidden="false" customHeight="false" outlineLevel="0" collapsed="false">
      <c r="A173" s="5"/>
      <c r="B173" s="6"/>
      <c r="C173" s="6"/>
      <c r="D173" s="6"/>
      <c r="E173" s="6"/>
      <c r="F173" s="6"/>
      <c r="G173" s="6"/>
      <c r="H173" s="6"/>
      <c r="I173" s="7"/>
      <c r="J173" s="8"/>
      <c r="K173" s="6"/>
      <c r="L173" s="9" t="str">
        <f aca="false">IF(OR(E173="",H173=""),"",E173*H173)</f>
        <v/>
      </c>
      <c r="M173" s="10" t="str">
        <f aca="false">IF(OR(J173="",H173="",H173=0),"",J173/H173)</f>
        <v/>
      </c>
      <c r="N173" s="10" t="str">
        <f aca="false">IF(OR(J173="",I173="",I173=0),"",J173/I173)</f>
        <v/>
      </c>
      <c r="O173" s="10" t="str">
        <f aca="false">IF(OR(J173="",L173="",L173=0),"",J173/L173)</f>
        <v/>
      </c>
      <c r="P173" s="6"/>
    </row>
    <row r="174" customFormat="false" ht="15" hidden="false" customHeight="false" outlineLevel="0" collapsed="false">
      <c r="A174" s="5"/>
      <c r="B174" s="6"/>
      <c r="C174" s="6"/>
      <c r="D174" s="6"/>
      <c r="E174" s="6"/>
      <c r="F174" s="6"/>
      <c r="G174" s="6"/>
      <c r="H174" s="6"/>
      <c r="I174" s="7"/>
      <c r="J174" s="8"/>
      <c r="K174" s="6"/>
      <c r="L174" s="9" t="str">
        <f aca="false">IF(OR(E174="",H174=""),"",E174*H174)</f>
        <v/>
      </c>
      <c r="M174" s="10" t="str">
        <f aca="false">IF(OR(J174="",H174="",H174=0),"",J174/H174)</f>
        <v/>
      </c>
      <c r="N174" s="10" t="str">
        <f aca="false">IF(OR(J174="",I174="",I174=0),"",J174/I174)</f>
        <v/>
      </c>
      <c r="O174" s="10" t="str">
        <f aca="false">IF(OR(J174="",L174="",L174=0),"",J174/L174)</f>
        <v/>
      </c>
      <c r="P174" s="6"/>
    </row>
    <row r="175" customFormat="false" ht="15" hidden="false" customHeight="false" outlineLevel="0" collapsed="false">
      <c r="A175" s="5"/>
      <c r="B175" s="6"/>
      <c r="C175" s="6"/>
      <c r="D175" s="6"/>
      <c r="E175" s="6"/>
      <c r="F175" s="6"/>
      <c r="G175" s="6"/>
      <c r="H175" s="6"/>
      <c r="I175" s="7"/>
      <c r="J175" s="8"/>
      <c r="K175" s="6"/>
      <c r="L175" s="9" t="str">
        <f aca="false">IF(OR(E175="",H175=""),"",E175*H175)</f>
        <v/>
      </c>
      <c r="M175" s="10" t="str">
        <f aca="false">IF(OR(J175="",H175="",H175=0),"",J175/H175)</f>
        <v/>
      </c>
      <c r="N175" s="10" t="str">
        <f aca="false">IF(OR(J175="",I175="",I175=0),"",J175/I175)</f>
        <v/>
      </c>
      <c r="O175" s="10" t="str">
        <f aca="false">IF(OR(J175="",L175="",L175=0),"",J175/L175)</f>
        <v/>
      </c>
      <c r="P175" s="6"/>
    </row>
    <row r="176" customFormat="false" ht="15" hidden="false" customHeight="false" outlineLevel="0" collapsed="false">
      <c r="A176" s="5"/>
      <c r="B176" s="6"/>
      <c r="C176" s="6"/>
      <c r="D176" s="6"/>
      <c r="E176" s="6"/>
      <c r="F176" s="6"/>
      <c r="G176" s="6"/>
      <c r="H176" s="6"/>
      <c r="I176" s="7"/>
      <c r="J176" s="8"/>
      <c r="K176" s="6"/>
      <c r="L176" s="9" t="str">
        <f aca="false">IF(OR(E176="",H176=""),"",E176*H176)</f>
        <v/>
      </c>
      <c r="M176" s="10" t="str">
        <f aca="false">IF(OR(J176="",H176="",H176=0),"",J176/H176)</f>
        <v/>
      </c>
      <c r="N176" s="10" t="str">
        <f aca="false">IF(OR(J176="",I176="",I176=0),"",J176/I176)</f>
        <v/>
      </c>
      <c r="O176" s="10" t="str">
        <f aca="false">IF(OR(J176="",L176="",L176=0),"",J176/L176)</f>
        <v/>
      </c>
      <c r="P176" s="6"/>
    </row>
    <row r="177" customFormat="false" ht="15" hidden="false" customHeight="false" outlineLevel="0" collapsed="false">
      <c r="A177" s="5"/>
      <c r="B177" s="6"/>
      <c r="C177" s="6"/>
      <c r="D177" s="6"/>
      <c r="E177" s="6"/>
      <c r="F177" s="6"/>
      <c r="G177" s="6"/>
      <c r="H177" s="6"/>
      <c r="I177" s="7"/>
      <c r="J177" s="8"/>
      <c r="K177" s="6"/>
      <c r="L177" s="9" t="str">
        <f aca="false">IF(OR(E177="",H177=""),"",E177*H177)</f>
        <v/>
      </c>
      <c r="M177" s="10" t="str">
        <f aca="false">IF(OR(J177="",H177="",H177=0),"",J177/H177)</f>
        <v/>
      </c>
      <c r="N177" s="10" t="str">
        <f aca="false">IF(OR(J177="",I177="",I177=0),"",J177/I177)</f>
        <v/>
      </c>
      <c r="O177" s="10" t="str">
        <f aca="false">IF(OR(J177="",L177="",L177=0),"",J177/L177)</f>
        <v/>
      </c>
      <c r="P177" s="6"/>
    </row>
    <row r="178" customFormat="false" ht="15" hidden="false" customHeight="false" outlineLevel="0" collapsed="false">
      <c r="A178" s="5"/>
      <c r="B178" s="6"/>
      <c r="C178" s="6"/>
      <c r="D178" s="6"/>
      <c r="E178" s="6"/>
      <c r="F178" s="6"/>
      <c r="G178" s="6"/>
      <c r="H178" s="6"/>
      <c r="I178" s="7"/>
      <c r="J178" s="8"/>
      <c r="K178" s="6"/>
      <c r="L178" s="9" t="str">
        <f aca="false">IF(OR(E178="",H178=""),"",E178*H178)</f>
        <v/>
      </c>
      <c r="M178" s="10" t="str">
        <f aca="false">IF(OR(J178="",H178="",H178=0),"",J178/H178)</f>
        <v/>
      </c>
      <c r="N178" s="10" t="str">
        <f aca="false">IF(OR(J178="",I178="",I178=0),"",J178/I178)</f>
        <v/>
      </c>
      <c r="O178" s="10" t="str">
        <f aca="false">IF(OR(J178="",L178="",L178=0),"",J178/L178)</f>
        <v/>
      </c>
      <c r="P178" s="6"/>
    </row>
    <row r="179" customFormat="false" ht="15" hidden="false" customHeight="false" outlineLevel="0" collapsed="false">
      <c r="A179" s="5"/>
      <c r="B179" s="6"/>
      <c r="C179" s="6"/>
      <c r="D179" s="6"/>
      <c r="E179" s="6"/>
      <c r="F179" s="6"/>
      <c r="G179" s="6"/>
      <c r="H179" s="6"/>
      <c r="I179" s="7"/>
      <c r="J179" s="8"/>
      <c r="K179" s="6"/>
      <c r="L179" s="9" t="str">
        <f aca="false">IF(OR(E179="",H179=""),"",E179*H179)</f>
        <v/>
      </c>
      <c r="M179" s="10" t="str">
        <f aca="false">IF(OR(J179="",H179="",H179=0),"",J179/H179)</f>
        <v/>
      </c>
      <c r="N179" s="10" t="str">
        <f aca="false">IF(OR(J179="",I179="",I179=0),"",J179/I179)</f>
        <v/>
      </c>
      <c r="O179" s="10" t="str">
        <f aca="false">IF(OR(J179="",L179="",L179=0),"",J179/L179)</f>
        <v/>
      </c>
      <c r="P179" s="6"/>
    </row>
    <row r="180" customFormat="false" ht="15" hidden="false" customHeight="false" outlineLevel="0" collapsed="false">
      <c r="A180" s="5"/>
      <c r="B180" s="6"/>
      <c r="C180" s="6"/>
      <c r="D180" s="6"/>
      <c r="E180" s="6"/>
      <c r="F180" s="6"/>
      <c r="G180" s="6"/>
      <c r="H180" s="6"/>
      <c r="I180" s="7"/>
      <c r="J180" s="8"/>
      <c r="K180" s="6"/>
      <c r="L180" s="9" t="str">
        <f aca="false">IF(OR(E180="",H180=""),"",E180*H180)</f>
        <v/>
      </c>
      <c r="M180" s="10" t="str">
        <f aca="false">IF(OR(J180="",H180="",H180=0),"",J180/H180)</f>
        <v/>
      </c>
      <c r="N180" s="10" t="str">
        <f aca="false">IF(OR(J180="",I180="",I180=0),"",J180/I180)</f>
        <v/>
      </c>
      <c r="O180" s="10" t="str">
        <f aca="false">IF(OR(J180="",L180="",L180=0),"",J180/L180)</f>
        <v/>
      </c>
      <c r="P180" s="6"/>
    </row>
    <row r="181" customFormat="false" ht="15" hidden="false" customHeight="false" outlineLevel="0" collapsed="false">
      <c r="A181" s="5"/>
      <c r="B181" s="6"/>
      <c r="C181" s="6"/>
      <c r="D181" s="6"/>
      <c r="E181" s="6"/>
      <c r="F181" s="6"/>
      <c r="G181" s="6"/>
      <c r="H181" s="6"/>
      <c r="I181" s="7"/>
      <c r="J181" s="8"/>
      <c r="K181" s="6"/>
      <c r="L181" s="9" t="str">
        <f aca="false">IF(OR(E181="",H181=""),"",E181*H181)</f>
        <v/>
      </c>
      <c r="M181" s="10" t="str">
        <f aca="false">IF(OR(J181="",H181="",H181=0),"",J181/H181)</f>
        <v/>
      </c>
      <c r="N181" s="10" t="str">
        <f aca="false">IF(OR(J181="",I181="",I181=0),"",J181/I181)</f>
        <v/>
      </c>
      <c r="O181" s="10" t="str">
        <f aca="false">IF(OR(J181="",L181="",L181=0),"",J181/L181)</f>
        <v/>
      </c>
      <c r="P181" s="6"/>
    </row>
    <row r="182" customFormat="false" ht="15" hidden="false" customHeight="false" outlineLevel="0" collapsed="false">
      <c r="A182" s="5"/>
      <c r="B182" s="6"/>
      <c r="C182" s="6"/>
      <c r="D182" s="6"/>
      <c r="E182" s="6"/>
      <c r="F182" s="6"/>
      <c r="G182" s="6"/>
      <c r="H182" s="6"/>
      <c r="I182" s="7"/>
      <c r="J182" s="8"/>
      <c r="K182" s="6"/>
      <c r="L182" s="9" t="str">
        <f aca="false">IF(OR(E182="",H182=""),"",E182*H182)</f>
        <v/>
      </c>
      <c r="M182" s="10" t="str">
        <f aca="false">IF(OR(J182="",H182="",H182=0),"",J182/H182)</f>
        <v/>
      </c>
      <c r="N182" s="10" t="str">
        <f aca="false">IF(OR(J182="",I182="",I182=0),"",J182/I182)</f>
        <v/>
      </c>
      <c r="O182" s="10" t="str">
        <f aca="false">IF(OR(J182="",L182="",L182=0),"",J182/L182)</f>
        <v/>
      </c>
      <c r="P182" s="6"/>
    </row>
    <row r="183" customFormat="false" ht="15" hidden="false" customHeight="false" outlineLevel="0" collapsed="false">
      <c r="A183" s="5"/>
      <c r="B183" s="6"/>
      <c r="C183" s="6"/>
      <c r="D183" s="6"/>
      <c r="E183" s="6"/>
      <c r="F183" s="6"/>
      <c r="G183" s="6"/>
      <c r="H183" s="6"/>
      <c r="I183" s="7"/>
      <c r="J183" s="8"/>
      <c r="K183" s="6"/>
      <c r="L183" s="9" t="str">
        <f aca="false">IF(OR(E183="",H183=""),"",E183*H183)</f>
        <v/>
      </c>
      <c r="M183" s="10" t="str">
        <f aca="false">IF(OR(J183="",H183="",H183=0),"",J183/H183)</f>
        <v/>
      </c>
      <c r="N183" s="10" t="str">
        <f aca="false">IF(OR(J183="",I183="",I183=0),"",J183/I183)</f>
        <v/>
      </c>
      <c r="O183" s="10" t="str">
        <f aca="false">IF(OR(J183="",L183="",L183=0),"",J183/L183)</f>
        <v/>
      </c>
      <c r="P183" s="6"/>
    </row>
    <row r="184" customFormat="false" ht="15" hidden="false" customHeight="false" outlineLevel="0" collapsed="false">
      <c r="A184" s="5"/>
      <c r="B184" s="6"/>
      <c r="C184" s="6"/>
      <c r="D184" s="6"/>
      <c r="E184" s="6"/>
      <c r="F184" s="6"/>
      <c r="G184" s="6"/>
      <c r="H184" s="6"/>
      <c r="I184" s="7"/>
      <c r="J184" s="8"/>
      <c r="K184" s="6"/>
      <c r="L184" s="9" t="str">
        <f aca="false">IF(OR(E184="",H184=""),"",E184*H184)</f>
        <v/>
      </c>
      <c r="M184" s="10" t="str">
        <f aca="false">IF(OR(J184="",H184="",H184=0),"",J184/H184)</f>
        <v/>
      </c>
      <c r="N184" s="10" t="str">
        <f aca="false">IF(OR(J184="",I184="",I184=0),"",J184/I184)</f>
        <v/>
      </c>
      <c r="O184" s="10" t="str">
        <f aca="false">IF(OR(J184="",L184="",L184=0),"",J184/L184)</f>
        <v/>
      </c>
      <c r="P184" s="6"/>
    </row>
    <row r="185" customFormat="false" ht="15" hidden="false" customHeight="false" outlineLevel="0" collapsed="false">
      <c r="A185" s="5"/>
      <c r="B185" s="6"/>
      <c r="C185" s="6"/>
      <c r="D185" s="6"/>
      <c r="E185" s="6"/>
      <c r="F185" s="6"/>
      <c r="G185" s="6"/>
      <c r="H185" s="6"/>
      <c r="I185" s="7"/>
      <c r="J185" s="8"/>
      <c r="K185" s="6"/>
      <c r="L185" s="9" t="str">
        <f aca="false">IF(OR(E185="",H185=""),"",E185*H185)</f>
        <v/>
      </c>
      <c r="M185" s="10" t="str">
        <f aca="false">IF(OR(J185="",H185="",H185=0),"",J185/H185)</f>
        <v/>
      </c>
      <c r="N185" s="10" t="str">
        <f aca="false">IF(OR(J185="",I185="",I185=0),"",J185/I185)</f>
        <v/>
      </c>
      <c r="O185" s="10" t="str">
        <f aca="false">IF(OR(J185="",L185="",L185=0),"",J185/L185)</f>
        <v/>
      </c>
      <c r="P185" s="6"/>
    </row>
    <row r="186" customFormat="false" ht="15" hidden="false" customHeight="false" outlineLevel="0" collapsed="false">
      <c r="A186" s="5"/>
      <c r="B186" s="6"/>
      <c r="C186" s="6"/>
      <c r="D186" s="6"/>
      <c r="E186" s="6"/>
      <c r="F186" s="6"/>
      <c r="G186" s="6"/>
      <c r="H186" s="6"/>
      <c r="I186" s="7"/>
      <c r="J186" s="8"/>
      <c r="K186" s="6"/>
      <c r="L186" s="9" t="str">
        <f aca="false">IF(OR(E186="",H186=""),"",E186*H186)</f>
        <v/>
      </c>
      <c r="M186" s="10" t="str">
        <f aca="false">IF(OR(J186="",H186="",H186=0),"",J186/H186)</f>
        <v/>
      </c>
      <c r="N186" s="10" t="str">
        <f aca="false">IF(OR(J186="",I186="",I186=0),"",J186/I186)</f>
        <v/>
      </c>
      <c r="O186" s="10" t="str">
        <f aca="false">IF(OR(J186="",L186="",L186=0),"",J186/L186)</f>
        <v/>
      </c>
      <c r="P186" s="6"/>
    </row>
    <row r="187" customFormat="false" ht="15" hidden="false" customHeight="false" outlineLevel="0" collapsed="false">
      <c r="A187" s="5"/>
      <c r="B187" s="6"/>
      <c r="C187" s="6"/>
      <c r="D187" s="6"/>
      <c r="E187" s="6"/>
      <c r="F187" s="6"/>
      <c r="G187" s="6"/>
      <c r="H187" s="6"/>
      <c r="I187" s="7"/>
      <c r="J187" s="8"/>
      <c r="K187" s="6"/>
      <c r="L187" s="9" t="str">
        <f aca="false">IF(OR(E187="",H187=""),"",E187*H187)</f>
        <v/>
      </c>
      <c r="M187" s="10" t="str">
        <f aca="false">IF(OR(J187="",H187="",H187=0),"",J187/H187)</f>
        <v/>
      </c>
      <c r="N187" s="10" t="str">
        <f aca="false">IF(OR(J187="",I187="",I187=0),"",J187/I187)</f>
        <v/>
      </c>
      <c r="O187" s="10" t="str">
        <f aca="false">IF(OR(J187="",L187="",L187=0),"",J187/L187)</f>
        <v/>
      </c>
      <c r="P187" s="6"/>
    </row>
    <row r="188" customFormat="false" ht="15" hidden="false" customHeight="false" outlineLevel="0" collapsed="false">
      <c r="A188" s="5"/>
      <c r="B188" s="6"/>
      <c r="C188" s="6"/>
      <c r="D188" s="6"/>
      <c r="E188" s="6"/>
      <c r="F188" s="6"/>
      <c r="G188" s="6"/>
      <c r="H188" s="6"/>
      <c r="I188" s="7"/>
      <c r="J188" s="8"/>
      <c r="K188" s="6"/>
      <c r="L188" s="9" t="str">
        <f aca="false">IF(OR(E188="",H188=""),"",E188*H188)</f>
        <v/>
      </c>
      <c r="M188" s="10" t="str">
        <f aca="false">IF(OR(J188="",H188="",H188=0),"",J188/H188)</f>
        <v/>
      </c>
      <c r="N188" s="10" t="str">
        <f aca="false">IF(OR(J188="",I188="",I188=0),"",J188/I188)</f>
        <v/>
      </c>
      <c r="O188" s="10" t="str">
        <f aca="false">IF(OR(J188="",L188="",L188=0),"",J188/L188)</f>
        <v/>
      </c>
      <c r="P188" s="6"/>
    </row>
    <row r="189" customFormat="false" ht="15" hidden="false" customHeight="false" outlineLevel="0" collapsed="false">
      <c r="A189" s="5"/>
      <c r="B189" s="6"/>
      <c r="C189" s="6"/>
      <c r="D189" s="6"/>
      <c r="E189" s="6"/>
      <c r="F189" s="6"/>
      <c r="G189" s="6"/>
      <c r="H189" s="6"/>
      <c r="I189" s="7"/>
      <c r="J189" s="8"/>
      <c r="K189" s="6"/>
      <c r="L189" s="9" t="str">
        <f aca="false">IF(OR(E189="",H189=""),"",E189*H189)</f>
        <v/>
      </c>
      <c r="M189" s="10" t="str">
        <f aca="false">IF(OR(J189="",H189="",H189=0),"",J189/H189)</f>
        <v/>
      </c>
      <c r="N189" s="10" t="str">
        <f aca="false">IF(OR(J189="",I189="",I189=0),"",J189/I189)</f>
        <v/>
      </c>
      <c r="O189" s="10" t="str">
        <f aca="false">IF(OR(J189="",L189="",L189=0),"",J189/L189)</f>
        <v/>
      </c>
      <c r="P189" s="6"/>
    </row>
    <row r="190" customFormat="false" ht="15" hidden="false" customHeight="false" outlineLevel="0" collapsed="false">
      <c r="A190" s="5"/>
      <c r="B190" s="6"/>
      <c r="C190" s="6"/>
      <c r="D190" s="6"/>
      <c r="E190" s="6"/>
      <c r="F190" s="6"/>
      <c r="G190" s="6"/>
      <c r="H190" s="6"/>
      <c r="I190" s="7"/>
      <c r="J190" s="8"/>
      <c r="K190" s="6"/>
      <c r="L190" s="9" t="str">
        <f aca="false">IF(OR(E190="",H190=""),"",E190*H190)</f>
        <v/>
      </c>
      <c r="M190" s="10" t="str">
        <f aca="false">IF(OR(J190="",H190="",H190=0),"",J190/H190)</f>
        <v/>
      </c>
      <c r="N190" s="10" t="str">
        <f aca="false">IF(OR(J190="",I190="",I190=0),"",J190/I190)</f>
        <v/>
      </c>
      <c r="O190" s="10" t="str">
        <f aca="false">IF(OR(J190="",L190="",L190=0),"",J190/L190)</f>
        <v/>
      </c>
      <c r="P190" s="6"/>
    </row>
    <row r="191" customFormat="false" ht="15" hidden="false" customHeight="false" outlineLevel="0" collapsed="false">
      <c r="A191" s="5"/>
      <c r="B191" s="6"/>
      <c r="C191" s="6"/>
      <c r="D191" s="6"/>
      <c r="E191" s="6"/>
      <c r="F191" s="6"/>
      <c r="G191" s="6"/>
      <c r="H191" s="6"/>
      <c r="I191" s="7"/>
      <c r="J191" s="8"/>
      <c r="K191" s="6"/>
      <c r="L191" s="9" t="str">
        <f aca="false">IF(OR(E191="",H191=""),"",E191*H191)</f>
        <v/>
      </c>
      <c r="M191" s="10" t="str">
        <f aca="false">IF(OR(J191="",H191="",H191=0),"",J191/H191)</f>
        <v/>
      </c>
      <c r="N191" s="10" t="str">
        <f aca="false">IF(OR(J191="",I191="",I191=0),"",J191/I191)</f>
        <v/>
      </c>
      <c r="O191" s="10" t="str">
        <f aca="false">IF(OR(J191="",L191="",L191=0),"",J191/L191)</f>
        <v/>
      </c>
      <c r="P191" s="6"/>
    </row>
    <row r="192" customFormat="false" ht="15" hidden="false" customHeight="false" outlineLevel="0" collapsed="false">
      <c r="A192" s="5"/>
      <c r="B192" s="6"/>
      <c r="C192" s="6"/>
      <c r="D192" s="6"/>
      <c r="E192" s="6"/>
      <c r="F192" s="6"/>
      <c r="G192" s="6"/>
      <c r="H192" s="6"/>
      <c r="I192" s="7"/>
      <c r="J192" s="8"/>
      <c r="K192" s="6"/>
      <c r="L192" s="9" t="str">
        <f aca="false">IF(OR(E192="",H192=""),"",E192*H192)</f>
        <v/>
      </c>
      <c r="M192" s="10" t="str">
        <f aca="false">IF(OR(J192="",H192="",H192=0),"",J192/H192)</f>
        <v/>
      </c>
      <c r="N192" s="10" t="str">
        <f aca="false">IF(OR(J192="",I192="",I192=0),"",J192/I192)</f>
        <v/>
      </c>
      <c r="O192" s="10" t="str">
        <f aca="false">IF(OR(J192="",L192="",L192=0),"",J192/L192)</f>
        <v/>
      </c>
      <c r="P192" s="6"/>
    </row>
    <row r="193" customFormat="false" ht="15" hidden="false" customHeight="false" outlineLevel="0" collapsed="false">
      <c r="A193" s="5"/>
      <c r="B193" s="6"/>
      <c r="C193" s="6"/>
      <c r="D193" s="6"/>
      <c r="E193" s="6"/>
      <c r="F193" s="6"/>
      <c r="G193" s="6"/>
      <c r="H193" s="6"/>
      <c r="I193" s="7"/>
      <c r="J193" s="8"/>
      <c r="K193" s="6"/>
      <c r="L193" s="9" t="str">
        <f aca="false">IF(OR(E193="",H193=""),"",E193*H193)</f>
        <v/>
      </c>
      <c r="M193" s="10" t="str">
        <f aca="false">IF(OR(J193="",H193="",H193=0),"",J193/H193)</f>
        <v/>
      </c>
      <c r="N193" s="10" t="str">
        <f aca="false">IF(OR(J193="",I193="",I193=0),"",J193/I193)</f>
        <v/>
      </c>
      <c r="O193" s="10" t="str">
        <f aca="false">IF(OR(J193="",L193="",L193=0),"",J193/L193)</f>
        <v/>
      </c>
      <c r="P193" s="6"/>
    </row>
    <row r="194" customFormat="false" ht="15" hidden="false" customHeight="false" outlineLevel="0" collapsed="false">
      <c r="A194" s="5"/>
      <c r="B194" s="6"/>
      <c r="C194" s="6"/>
      <c r="D194" s="6"/>
      <c r="E194" s="6"/>
      <c r="F194" s="6"/>
      <c r="G194" s="6"/>
      <c r="H194" s="6"/>
      <c r="I194" s="7"/>
      <c r="J194" s="8"/>
      <c r="K194" s="6"/>
      <c r="L194" s="9" t="str">
        <f aca="false">IF(OR(E194="",H194=""),"",E194*H194)</f>
        <v/>
      </c>
      <c r="M194" s="10" t="str">
        <f aca="false">IF(OR(J194="",H194="",H194=0),"",J194/H194)</f>
        <v/>
      </c>
      <c r="N194" s="10" t="str">
        <f aca="false">IF(OR(J194="",I194="",I194=0),"",J194/I194)</f>
        <v/>
      </c>
      <c r="O194" s="10" t="str">
        <f aca="false">IF(OR(J194="",L194="",L194=0),"",J194/L194)</f>
        <v/>
      </c>
      <c r="P194" s="6"/>
    </row>
    <row r="195" customFormat="false" ht="15" hidden="false" customHeight="false" outlineLevel="0" collapsed="false">
      <c r="A195" s="5"/>
      <c r="B195" s="6"/>
      <c r="C195" s="6"/>
      <c r="D195" s="6"/>
      <c r="E195" s="6"/>
      <c r="F195" s="6"/>
      <c r="G195" s="6"/>
      <c r="H195" s="6"/>
      <c r="I195" s="7"/>
      <c r="J195" s="8"/>
      <c r="K195" s="6"/>
      <c r="L195" s="9" t="str">
        <f aca="false">IF(OR(E195="",H195=""),"",E195*H195)</f>
        <v/>
      </c>
      <c r="M195" s="10" t="str">
        <f aca="false">IF(OR(J195="",H195="",H195=0),"",J195/H195)</f>
        <v/>
      </c>
      <c r="N195" s="10" t="str">
        <f aca="false">IF(OR(J195="",I195="",I195=0),"",J195/I195)</f>
        <v/>
      </c>
      <c r="O195" s="10" t="str">
        <f aca="false">IF(OR(J195="",L195="",L195=0),"",J195/L195)</f>
        <v/>
      </c>
      <c r="P195" s="6"/>
    </row>
    <row r="196" customFormat="false" ht="15" hidden="false" customHeight="false" outlineLevel="0" collapsed="false">
      <c r="A196" s="5"/>
      <c r="B196" s="6"/>
      <c r="C196" s="6"/>
      <c r="D196" s="6"/>
      <c r="E196" s="6"/>
      <c r="F196" s="6"/>
      <c r="G196" s="6"/>
      <c r="H196" s="6"/>
      <c r="I196" s="7"/>
      <c r="J196" s="8"/>
      <c r="K196" s="6"/>
      <c r="L196" s="9" t="str">
        <f aca="false">IF(OR(E196="",H196=""),"",E196*H196)</f>
        <v/>
      </c>
      <c r="M196" s="10" t="str">
        <f aca="false">IF(OR(J196="",H196="",H196=0),"",J196/H196)</f>
        <v/>
      </c>
      <c r="N196" s="10" t="str">
        <f aca="false">IF(OR(J196="",I196="",I196=0),"",J196/I196)</f>
        <v/>
      </c>
      <c r="O196" s="10" t="str">
        <f aca="false">IF(OR(J196="",L196="",L196=0),"",J196/L196)</f>
        <v/>
      </c>
      <c r="P196" s="6"/>
    </row>
    <row r="197" customFormat="false" ht="15" hidden="false" customHeight="false" outlineLevel="0" collapsed="false">
      <c r="A197" s="5"/>
      <c r="B197" s="6"/>
      <c r="C197" s="6"/>
      <c r="D197" s="6"/>
      <c r="E197" s="6"/>
      <c r="F197" s="6"/>
      <c r="G197" s="6"/>
      <c r="H197" s="6"/>
      <c r="I197" s="7"/>
      <c r="J197" s="8"/>
      <c r="K197" s="6"/>
      <c r="L197" s="9" t="str">
        <f aca="false">IF(OR(E197="",H197=""),"",E197*H197)</f>
        <v/>
      </c>
      <c r="M197" s="10" t="str">
        <f aca="false">IF(OR(J197="",H197="",H197=0),"",J197/H197)</f>
        <v/>
      </c>
      <c r="N197" s="10" t="str">
        <f aca="false">IF(OR(J197="",I197="",I197=0),"",J197/I197)</f>
        <v/>
      </c>
      <c r="O197" s="10" t="str">
        <f aca="false">IF(OR(J197="",L197="",L197=0),"",J197/L197)</f>
        <v/>
      </c>
      <c r="P197" s="6"/>
    </row>
    <row r="198" customFormat="false" ht="15" hidden="false" customHeight="false" outlineLevel="0" collapsed="false">
      <c r="A198" s="5"/>
      <c r="B198" s="6"/>
      <c r="C198" s="6"/>
      <c r="D198" s="6"/>
      <c r="E198" s="6"/>
      <c r="F198" s="6"/>
      <c r="G198" s="6"/>
      <c r="H198" s="6"/>
      <c r="I198" s="7"/>
      <c r="J198" s="8"/>
      <c r="K198" s="6"/>
      <c r="L198" s="9" t="str">
        <f aca="false">IF(OR(E198="",H198=""),"",E198*H198)</f>
        <v/>
      </c>
      <c r="M198" s="10" t="str">
        <f aca="false">IF(OR(J198="",H198="",H198=0),"",J198/H198)</f>
        <v/>
      </c>
      <c r="N198" s="10" t="str">
        <f aca="false">IF(OR(J198="",I198="",I198=0),"",J198/I198)</f>
        <v/>
      </c>
      <c r="O198" s="10" t="str">
        <f aca="false">IF(OR(J198="",L198="",L198=0),"",J198/L198)</f>
        <v/>
      </c>
      <c r="P198" s="6"/>
    </row>
    <row r="199" customFormat="false" ht="15" hidden="false" customHeight="false" outlineLevel="0" collapsed="false">
      <c r="A199" s="5"/>
      <c r="B199" s="6"/>
      <c r="C199" s="6"/>
      <c r="D199" s="6"/>
      <c r="E199" s="6"/>
      <c r="F199" s="6"/>
      <c r="G199" s="6"/>
      <c r="H199" s="6"/>
      <c r="I199" s="7"/>
      <c r="J199" s="8"/>
      <c r="K199" s="6"/>
      <c r="L199" s="9" t="str">
        <f aca="false">IF(OR(E199="",H199=""),"",E199*H199)</f>
        <v/>
      </c>
      <c r="M199" s="10" t="str">
        <f aca="false">IF(OR(J199="",H199="",H199=0),"",J199/H199)</f>
        <v/>
      </c>
      <c r="N199" s="10" t="str">
        <f aca="false">IF(OR(J199="",I199="",I199=0),"",J199/I199)</f>
        <v/>
      </c>
      <c r="O199" s="10" t="str">
        <f aca="false">IF(OR(J199="",L199="",L199=0),"",J199/L199)</f>
        <v/>
      </c>
      <c r="P199" s="6"/>
    </row>
    <row r="200" customFormat="false" ht="15" hidden="false" customHeight="false" outlineLevel="0" collapsed="false">
      <c r="A200" s="5"/>
      <c r="B200" s="6"/>
      <c r="C200" s="6"/>
      <c r="D200" s="6"/>
      <c r="E200" s="6"/>
      <c r="F200" s="6"/>
      <c r="G200" s="6"/>
      <c r="H200" s="6"/>
      <c r="I200" s="7"/>
      <c r="J200" s="8"/>
      <c r="K200" s="6"/>
      <c r="L200" s="9" t="str">
        <f aca="false">IF(OR(E200="",H200=""),"",E200*H200)</f>
        <v/>
      </c>
      <c r="M200" s="10" t="str">
        <f aca="false">IF(OR(J200="",H200="",H200=0),"",J200/H200)</f>
        <v/>
      </c>
      <c r="N200" s="10" t="str">
        <f aca="false">IF(OR(J200="",I200="",I200=0),"",J200/I200)</f>
        <v/>
      </c>
      <c r="O200" s="10" t="str">
        <f aca="false">IF(OR(J200="",L200="",L200=0),"",J200/L200)</f>
        <v/>
      </c>
      <c r="P200" s="6"/>
    </row>
    <row r="201" customFormat="false" ht="15" hidden="false" customHeight="false" outlineLevel="0" collapsed="false">
      <c r="A201" s="5"/>
      <c r="B201" s="6"/>
      <c r="C201" s="6"/>
      <c r="D201" s="6"/>
      <c r="E201" s="6"/>
      <c r="F201" s="6"/>
      <c r="G201" s="6"/>
      <c r="H201" s="6"/>
      <c r="I201" s="7"/>
      <c r="J201" s="8"/>
      <c r="K201" s="6"/>
      <c r="L201" s="9" t="str">
        <f aca="false">IF(OR(E201="",H201=""),"",E201*H201)</f>
        <v/>
      </c>
      <c r="M201" s="10" t="str">
        <f aca="false">IF(OR(J201="",H201="",H201=0),"",J201/H201)</f>
        <v/>
      </c>
      <c r="N201" s="10" t="str">
        <f aca="false">IF(OR(J201="",I201="",I201=0),"",J201/I201)</f>
        <v/>
      </c>
      <c r="O201" s="10" t="str">
        <f aca="false">IF(OR(J201="",L201="",L201=0),"",J201/L201)</f>
        <v/>
      </c>
      <c r="P201" s="6"/>
    </row>
    <row r="202" customFormat="false" ht="15" hidden="false" customHeight="false" outlineLevel="0" collapsed="false">
      <c r="A202" s="5"/>
      <c r="B202" s="6"/>
      <c r="C202" s="6"/>
      <c r="D202" s="6"/>
      <c r="E202" s="6"/>
      <c r="F202" s="6"/>
      <c r="G202" s="6"/>
      <c r="H202" s="6"/>
      <c r="I202" s="7"/>
      <c r="J202" s="8"/>
      <c r="K202" s="6"/>
      <c r="L202" s="9" t="str">
        <f aca="false">IF(OR(E202="",H202=""),"",E202*H202)</f>
        <v/>
      </c>
      <c r="M202" s="10" t="str">
        <f aca="false">IF(OR(J202="",H202="",H202=0),"",J202/H202)</f>
        <v/>
      </c>
      <c r="N202" s="10" t="str">
        <f aca="false">IF(OR(J202="",I202="",I202=0),"",J202/I202)</f>
        <v/>
      </c>
      <c r="O202" s="10" t="str">
        <f aca="false">IF(OR(J202="",L202="",L202=0),"",J202/L202)</f>
        <v/>
      </c>
      <c r="P202" s="6"/>
    </row>
    <row r="203" customFormat="false" ht="15" hidden="false" customHeight="false" outlineLevel="0" collapsed="false">
      <c r="A203" s="5"/>
      <c r="B203" s="6"/>
      <c r="C203" s="6"/>
      <c r="D203" s="6"/>
      <c r="E203" s="6"/>
      <c r="F203" s="6"/>
      <c r="G203" s="6"/>
      <c r="H203" s="6"/>
      <c r="I203" s="7"/>
      <c r="J203" s="8"/>
      <c r="K203" s="6"/>
      <c r="L203" s="9" t="str">
        <f aca="false">IF(OR(E203="",H203=""),"",E203*H203)</f>
        <v/>
      </c>
      <c r="M203" s="10" t="str">
        <f aca="false">IF(OR(J203="",H203="",H203=0),"",J203/H203)</f>
        <v/>
      </c>
      <c r="N203" s="10" t="str">
        <f aca="false">IF(OR(J203="",I203="",I203=0),"",J203/I203)</f>
        <v/>
      </c>
      <c r="O203" s="10" t="str">
        <f aca="false">IF(OR(J203="",L203="",L203=0),"",J203/L203)</f>
        <v/>
      </c>
      <c r="P203" s="6"/>
    </row>
    <row r="204" customFormat="false" ht="15" hidden="false" customHeight="false" outlineLevel="0" collapsed="false">
      <c r="A204" s="5"/>
      <c r="B204" s="6"/>
      <c r="C204" s="6"/>
      <c r="D204" s="6"/>
      <c r="E204" s="6"/>
      <c r="F204" s="6"/>
      <c r="G204" s="6"/>
      <c r="H204" s="6"/>
      <c r="I204" s="7"/>
      <c r="J204" s="8"/>
      <c r="K204" s="6"/>
      <c r="L204" s="9" t="str">
        <f aca="false">IF(OR(E204="",H204=""),"",E204*H204)</f>
        <v/>
      </c>
      <c r="M204" s="10" t="str">
        <f aca="false">IF(OR(J204="",H204="",H204=0),"",J204/H204)</f>
        <v/>
      </c>
      <c r="N204" s="10" t="str">
        <f aca="false">IF(OR(J204="",I204="",I204=0),"",J204/I204)</f>
        <v/>
      </c>
      <c r="O204" s="10" t="str">
        <f aca="false">IF(OR(J204="",L204="",L204=0),"",J204/L204)</f>
        <v/>
      </c>
      <c r="P204" s="6"/>
    </row>
    <row r="205" customFormat="false" ht="15" hidden="false" customHeight="false" outlineLevel="0" collapsed="false">
      <c r="A205" s="5"/>
      <c r="B205" s="6"/>
      <c r="C205" s="6"/>
      <c r="D205" s="6"/>
      <c r="E205" s="6"/>
      <c r="F205" s="6"/>
      <c r="G205" s="6"/>
      <c r="H205" s="6"/>
      <c r="I205" s="7"/>
      <c r="J205" s="8"/>
      <c r="K205" s="6"/>
      <c r="L205" s="9" t="str">
        <f aca="false">IF(OR(E205="",H205=""),"",E205*H205)</f>
        <v/>
      </c>
      <c r="M205" s="10" t="str">
        <f aca="false">IF(OR(J205="",H205="",H205=0),"",J205/H205)</f>
        <v/>
      </c>
      <c r="N205" s="10" t="str">
        <f aca="false">IF(OR(J205="",I205="",I205=0),"",J205/I205)</f>
        <v/>
      </c>
      <c r="O205" s="10" t="str">
        <f aca="false">IF(OR(J205="",L205="",L205=0),"",J205/L205)</f>
        <v/>
      </c>
      <c r="P205" s="6"/>
    </row>
    <row r="206" customFormat="false" ht="15" hidden="false" customHeight="false" outlineLevel="0" collapsed="false">
      <c r="A206" s="5"/>
      <c r="B206" s="6"/>
      <c r="C206" s="6"/>
      <c r="D206" s="6"/>
      <c r="E206" s="6"/>
      <c r="F206" s="6"/>
      <c r="G206" s="6"/>
      <c r="H206" s="6"/>
      <c r="I206" s="7"/>
      <c r="J206" s="8"/>
      <c r="K206" s="6"/>
      <c r="L206" s="9" t="str">
        <f aca="false">IF(OR(E206="",H206=""),"",E206*H206)</f>
        <v/>
      </c>
      <c r="M206" s="10" t="str">
        <f aca="false">IF(OR(J206="",H206="",H206=0),"",J206/H206)</f>
        <v/>
      </c>
      <c r="N206" s="10" t="str">
        <f aca="false">IF(OR(J206="",I206="",I206=0),"",J206/I206)</f>
        <v/>
      </c>
      <c r="O206" s="10" t="str">
        <f aca="false">IF(OR(J206="",L206="",L206=0),"",J206/L206)</f>
        <v/>
      </c>
      <c r="P206" s="6"/>
    </row>
    <row r="207" customFormat="false" ht="15" hidden="false" customHeight="false" outlineLevel="0" collapsed="false">
      <c r="A207" s="5"/>
      <c r="B207" s="6"/>
      <c r="C207" s="6"/>
      <c r="D207" s="6"/>
      <c r="E207" s="6"/>
      <c r="F207" s="6"/>
      <c r="G207" s="6"/>
      <c r="H207" s="6"/>
      <c r="I207" s="7"/>
      <c r="J207" s="8"/>
      <c r="K207" s="6"/>
      <c r="L207" s="9" t="str">
        <f aca="false">IF(OR(E207="",H207=""),"",E207*H207)</f>
        <v/>
      </c>
      <c r="M207" s="10" t="str">
        <f aca="false">IF(OR(J207="",H207="",H207=0),"",J207/H207)</f>
        <v/>
      </c>
      <c r="N207" s="10" t="str">
        <f aca="false">IF(OR(J207="",I207="",I207=0),"",J207/I207)</f>
        <v/>
      </c>
      <c r="O207" s="10" t="str">
        <f aca="false">IF(OR(J207="",L207="",L207=0),"",J207/L207)</f>
        <v/>
      </c>
      <c r="P207" s="6"/>
    </row>
    <row r="208" customFormat="false" ht="15" hidden="false" customHeight="false" outlineLevel="0" collapsed="false">
      <c r="A208" s="5"/>
      <c r="B208" s="6"/>
      <c r="C208" s="6"/>
      <c r="D208" s="6"/>
      <c r="E208" s="6"/>
      <c r="F208" s="6"/>
      <c r="G208" s="6"/>
      <c r="H208" s="6"/>
      <c r="I208" s="7"/>
      <c r="J208" s="8"/>
      <c r="K208" s="6"/>
      <c r="L208" s="9" t="str">
        <f aca="false">IF(OR(E208="",H208=""),"",E208*H208)</f>
        <v/>
      </c>
      <c r="M208" s="10" t="str">
        <f aca="false">IF(OR(J208="",H208="",H208=0),"",J208/H208)</f>
        <v/>
      </c>
      <c r="N208" s="10" t="str">
        <f aca="false">IF(OR(J208="",I208="",I208=0),"",J208/I208)</f>
        <v/>
      </c>
      <c r="O208" s="10" t="str">
        <f aca="false">IF(OR(J208="",L208="",L208=0),"",J208/L208)</f>
        <v/>
      </c>
      <c r="P208" s="6"/>
    </row>
    <row r="209" customFormat="false" ht="15" hidden="false" customHeight="false" outlineLevel="0" collapsed="false">
      <c r="A209" s="5"/>
      <c r="B209" s="6"/>
      <c r="C209" s="6"/>
      <c r="D209" s="6"/>
      <c r="E209" s="6"/>
      <c r="F209" s="6"/>
      <c r="G209" s="6"/>
      <c r="H209" s="6"/>
      <c r="I209" s="7"/>
      <c r="J209" s="8"/>
      <c r="K209" s="6"/>
      <c r="L209" s="9" t="str">
        <f aca="false">IF(OR(E209="",H209=""),"",E209*H209)</f>
        <v/>
      </c>
      <c r="M209" s="10" t="str">
        <f aca="false">IF(OR(J209="",H209="",H209=0),"",J209/H209)</f>
        <v/>
      </c>
      <c r="N209" s="10" t="str">
        <f aca="false">IF(OR(J209="",I209="",I209=0),"",J209/I209)</f>
        <v/>
      </c>
      <c r="O209" s="10" t="str">
        <f aca="false">IF(OR(J209="",L209="",L209=0),"",J209/L209)</f>
        <v/>
      </c>
      <c r="P209" s="6"/>
    </row>
    <row r="210" customFormat="false" ht="15" hidden="false" customHeight="false" outlineLevel="0" collapsed="false">
      <c r="A210" s="5"/>
      <c r="B210" s="6"/>
      <c r="C210" s="6"/>
      <c r="D210" s="6"/>
      <c r="E210" s="6"/>
      <c r="F210" s="6"/>
      <c r="G210" s="6"/>
      <c r="H210" s="6"/>
      <c r="I210" s="7"/>
      <c r="J210" s="8"/>
      <c r="K210" s="6"/>
      <c r="L210" s="9" t="str">
        <f aca="false">IF(OR(E210="",H210=""),"",E210*H210)</f>
        <v/>
      </c>
      <c r="M210" s="10" t="str">
        <f aca="false">IF(OR(J210="",H210="",H210=0),"",J210/H210)</f>
        <v/>
      </c>
      <c r="N210" s="10" t="str">
        <f aca="false">IF(OR(J210="",I210="",I210=0),"",J210/I210)</f>
        <v/>
      </c>
      <c r="O210" s="10" t="str">
        <f aca="false">IF(OR(J210="",L210="",L210=0),"",J210/L210)</f>
        <v/>
      </c>
      <c r="P210" s="6"/>
    </row>
    <row r="211" customFormat="false" ht="15" hidden="false" customHeight="false" outlineLevel="0" collapsed="false">
      <c r="A211" s="5"/>
      <c r="B211" s="6"/>
      <c r="C211" s="6"/>
      <c r="D211" s="6"/>
      <c r="E211" s="6"/>
      <c r="F211" s="6"/>
      <c r="G211" s="6"/>
      <c r="H211" s="6"/>
      <c r="I211" s="7"/>
      <c r="J211" s="8"/>
      <c r="K211" s="6"/>
      <c r="L211" s="9" t="str">
        <f aca="false">IF(OR(E211="",H211=""),"",E211*H211)</f>
        <v/>
      </c>
      <c r="M211" s="10" t="str">
        <f aca="false">IF(OR(J211="",H211="",H211=0),"",J211/H211)</f>
        <v/>
      </c>
      <c r="N211" s="10" t="str">
        <f aca="false">IF(OR(J211="",I211="",I211=0),"",J211/I211)</f>
        <v/>
      </c>
      <c r="O211" s="10" t="str">
        <f aca="false">IF(OR(J211="",L211="",L211=0),"",J211/L211)</f>
        <v/>
      </c>
      <c r="P211" s="6"/>
    </row>
    <row r="212" customFormat="false" ht="15" hidden="false" customHeight="false" outlineLevel="0" collapsed="false">
      <c r="A212" s="5"/>
      <c r="B212" s="6"/>
      <c r="C212" s="6"/>
      <c r="D212" s="6"/>
      <c r="E212" s="6"/>
      <c r="F212" s="6"/>
      <c r="G212" s="6"/>
      <c r="H212" s="6"/>
      <c r="I212" s="7"/>
      <c r="J212" s="8"/>
      <c r="K212" s="6"/>
      <c r="L212" s="9" t="str">
        <f aca="false">IF(OR(E212="",H212=""),"",E212*H212)</f>
        <v/>
      </c>
      <c r="M212" s="10" t="str">
        <f aca="false">IF(OR(J212="",H212="",H212=0),"",J212/H212)</f>
        <v/>
      </c>
      <c r="N212" s="10" t="str">
        <f aca="false">IF(OR(J212="",I212="",I212=0),"",J212/I212)</f>
        <v/>
      </c>
      <c r="O212" s="10" t="str">
        <f aca="false">IF(OR(J212="",L212="",L212=0),"",J212/L212)</f>
        <v/>
      </c>
      <c r="P212" s="6"/>
    </row>
    <row r="213" customFormat="false" ht="15" hidden="false" customHeight="false" outlineLevel="0" collapsed="false">
      <c r="A213" s="5"/>
      <c r="B213" s="6"/>
      <c r="C213" s="6"/>
      <c r="D213" s="6"/>
      <c r="E213" s="6"/>
      <c r="F213" s="6"/>
      <c r="G213" s="6"/>
      <c r="H213" s="6"/>
      <c r="I213" s="7"/>
      <c r="J213" s="8"/>
      <c r="K213" s="6"/>
      <c r="L213" s="9" t="str">
        <f aca="false">IF(OR(E213="",H213=""),"",E213*H213)</f>
        <v/>
      </c>
      <c r="M213" s="10" t="str">
        <f aca="false">IF(OR(J213="",H213="",H213=0),"",J213/H213)</f>
        <v/>
      </c>
      <c r="N213" s="10" t="str">
        <f aca="false">IF(OR(J213="",I213="",I213=0),"",J213/I213)</f>
        <v/>
      </c>
      <c r="O213" s="10" t="str">
        <f aca="false">IF(OR(J213="",L213="",L213=0),"",J213/L213)</f>
        <v/>
      </c>
      <c r="P213" s="6"/>
    </row>
    <row r="214" customFormat="false" ht="15" hidden="false" customHeight="false" outlineLevel="0" collapsed="false">
      <c r="A214" s="5"/>
      <c r="B214" s="6"/>
      <c r="C214" s="6"/>
      <c r="D214" s="6"/>
      <c r="E214" s="6"/>
      <c r="F214" s="6"/>
      <c r="G214" s="6"/>
      <c r="H214" s="6"/>
      <c r="I214" s="7"/>
      <c r="J214" s="8"/>
      <c r="K214" s="6"/>
      <c r="L214" s="9" t="str">
        <f aca="false">IF(OR(E214="",H214=""),"",E214*H214)</f>
        <v/>
      </c>
      <c r="M214" s="10" t="str">
        <f aca="false">IF(OR(J214="",H214="",H214=0),"",J214/H214)</f>
        <v/>
      </c>
      <c r="N214" s="10" t="str">
        <f aca="false">IF(OR(J214="",I214="",I214=0),"",J214/I214)</f>
        <v/>
      </c>
      <c r="O214" s="10" t="str">
        <f aca="false">IF(OR(J214="",L214="",L214=0),"",J214/L214)</f>
        <v/>
      </c>
      <c r="P214" s="6"/>
    </row>
    <row r="215" customFormat="false" ht="15" hidden="false" customHeight="false" outlineLevel="0" collapsed="false">
      <c r="A215" s="5"/>
      <c r="B215" s="6"/>
      <c r="C215" s="6"/>
      <c r="D215" s="6"/>
      <c r="E215" s="6"/>
      <c r="F215" s="6"/>
      <c r="G215" s="6"/>
      <c r="H215" s="6"/>
      <c r="I215" s="7"/>
      <c r="J215" s="8"/>
      <c r="K215" s="6"/>
      <c r="L215" s="9" t="str">
        <f aca="false">IF(OR(E215="",H215=""),"",E215*H215)</f>
        <v/>
      </c>
      <c r="M215" s="10" t="str">
        <f aca="false">IF(OR(J215="",H215="",H215=0),"",J215/H215)</f>
        <v/>
      </c>
      <c r="N215" s="10" t="str">
        <f aca="false">IF(OR(J215="",I215="",I215=0),"",J215/I215)</f>
        <v/>
      </c>
      <c r="O215" s="10" t="str">
        <f aca="false">IF(OR(J215="",L215="",L215=0),"",J215/L215)</f>
        <v/>
      </c>
      <c r="P215" s="6"/>
    </row>
    <row r="216" customFormat="false" ht="15" hidden="false" customHeight="false" outlineLevel="0" collapsed="false">
      <c r="A216" s="5"/>
      <c r="B216" s="6"/>
      <c r="C216" s="6"/>
      <c r="D216" s="6"/>
      <c r="E216" s="6"/>
      <c r="F216" s="6"/>
      <c r="G216" s="6"/>
      <c r="H216" s="6"/>
      <c r="I216" s="7"/>
      <c r="J216" s="8"/>
      <c r="K216" s="6"/>
      <c r="L216" s="9" t="str">
        <f aca="false">IF(OR(E216="",H216=""),"",E216*H216)</f>
        <v/>
      </c>
      <c r="M216" s="10" t="str">
        <f aca="false">IF(OR(J216="",H216="",H216=0),"",J216/H216)</f>
        <v/>
      </c>
      <c r="N216" s="10" t="str">
        <f aca="false">IF(OR(J216="",I216="",I216=0),"",J216/I216)</f>
        <v/>
      </c>
      <c r="O216" s="10" t="str">
        <f aca="false">IF(OR(J216="",L216="",L216=0),"",J216/L216)</f>
        <v/>
      </c>
      <c r="P216" s="6"/>
    </row>
    <row r="217" customFormat="false" ht="15" hidden="false" customHeight="false" outlineLevel="0" collapsed="false">
      <c r="A217" s="5"/>
      <c r="B217" s="6"/>
      <c r="C217" s="6"/>
      <c r="D217" s="6"/>
      <c r="E217" s="6"/>
      <c r="F217" s="6"/>
      <c r="G217" s="6"/>
      <c r="H217" s="6"/>
      <c r="I217" s="7"/>
      <c r="J217" s="8"/>
      <c r="K217" s="6"/>
      <c r="L217" s="9" t="str">
        <f aca="false">IF(OR(E217="",H217=""),"",E217*H217)</f>
        <v/>
      </c>
      <c r="M217" s="10" t="str">
        <f aca="false">IF(OR(J217="",H217="",H217=0),"",J217/H217)</f>
        <v/>
      </c>
      <c r="N217" s="10" t="str">
        <f aca="false">IF(OR(J217="",I217="",I217=0),"",J217/I217)</f>
        <v/>
      </c>
      <c r="O217" s="10" t="str">
        <f aca="false">IF(OR(J217="",L217="",L217=0),"",J217/L217)</f>
        <v/>
      </c>
      <c r="P217" s="6"/>
    </row>
    <row r="218" customFormat="false" ht="15" hidden="false" customHeight="false" outlineLevel="0" collapsed="false">
      <c r="A218" s="5"/>
      <c r="B218" s="6"/>
      <c r="C218" s="6"/>
      <c r="D218" s="6"/>
      <c r="E218" s="6"/>
      <c r="F218" s="6"/>
      <c r="G218" s="6"/>
      <c r="H218" s="6"/>
      <c r="I218" s="7"/>
      <c r="J218" s="8"/>
      <c r="K218" s="6"/>
      <c r="L218" s="9" t="str">
        <f aca="false">IF(OR(E218="",H218=""),"",E218*H218)</f>
        <v/>
      </c>
      <c r="M218" s="10" t="str">
        <f aca="false">IF(OR(J218="",H218="",H218=0),"",J218/H218)</f>
        <v/>
      </c>
      <c r="N218" s="10" t="str">
        <f aca="false">IF(OR(J218="",I218="",I218=0),"",J218/I218)</f>
        <v/>
      </c>
      <c r="O218" s="10" t="str">
        <f aca="false">IF(OR(J218="",L218="",L218=0),"",J218/L218)</f>
        <v/>
      </c>
      <c r="P218" s="6"/>
    </row>
    <row r="219" customFormat="false" ht="15" hidden="false" customHeight="false" outlineLevel="0" collapsed="false">
      <c r="A219" s="5"/>
      <c r="B219" s="6"/>
      <c r="C219" s="6"/>
      <c r="D219" s="6"/>
      <c r="E219" s="6"/>
      <c r="F219" s="6"/>
      <c r="G219" s="6"/>
      <c r="H219" s="6"/>
      <c r="I219" s="7"/>
      <c r="J219" s="8"/>
      <c r="K219" s="6"/>
      <c r="L219" s="9" t="str">
        <f aca="false">IF(OR(E219="",H219=""),"",E219*H219)</f>
        <v/>
      </c>
      <c r="M219" s="10" t="str">
        <f aca="false">IF(OR(J219="",H219="",H219=0),"",J219/H219)</f>
        <v/>
      </c>
      <c r="N219" s="10" t="str">
        <f aca="false">IF(OR(J219="",I219="",I219=0),"",J219/I219)</f>
        <v/>
      </c>
      <c r="O219" s="10" t="str">
        <f aca="false">IF(OR(J219="",L219="",L219=0),"",J219/L219)</f>
        <v/>
      </c>
      <c r="P219" s="6"/>
    </row>
    <row r="220" customFormat="false" ht="15" hidden="false" customHeight="false" outlineLevel="0" collapsed="false">
      <c r="A220" s="5"/>
      <c r="B220" s="6"/>
      <c r="C220" s="6"/>
      <c r="D220" s="6"/>
      <c r="E220" s="6"/>
      <c r="F220" s="6"/>
      <c r="G220" s="6"/>
      <c r="H220" s="6"/>
      <c r="I220" s="7"/>
      <c r="J220" s="8"/>
      <c r="K220" s="6"/>
      <c r="L220" s="9" t="str">
        <f aca="false">IF(OR(E220="",H220=""),"",E220*H220)</f>
        <v/>
      </c>
      <c r="M220" s="10" t="str">
        <f aca="false">IF(OR(J220="",H220="",H220=0),"",J220/H220)</f>
        <v/>
      </c>
      <c r="N220" s="10" t="str">
        <f aca="false">IF(OR(J220="",I220="",I220=0),"",J220/I220)</f>
        <v/>
      </c>
      <c r="O220" s="10" t="str">
        <f aca="false">IF(OR(J220="",L220="",L220=0),"",J220/L220)</f>
        <v/>
      </c>
      <c r="P220" s="6"/>
    </row>
    <row r="221" customFormat="false" ht="15" hidden="false" customHeight="false" outlineLevel="0" collapsed="false">
      <c r="A221" s="5"/>
      <c r="B221" s="6"/>
      <c r="C221" s="6"/>
      <c r="D221" s="6"/>
      <c r="E221" s="6"/>
      <c r="F221" s="6"/>
      <c r="G221" s="6"/>
      <c r="H221" s="6"/>
      <c r="I221" s="7"/>
      <c r="J221" s="8"/>
      <c r="K221" s="6"/>
      <c r="L221" s="9" t="str">
        <f aca="false">IF(OR(E221="",H221=""),"",E221*H221)</f>
        <v/>
      </c>
      <c r="M221" s="10" t="str">
        <f aca="false">IF(OR(J221="",H221="",H221=0),"",J221/H221)</f>
        <v/>
      </c>
      <c r="N221" s="10" t="str">
        <f aca="false">IF(OR(J221="",I221="",I221=0),"",J221/I221)</f>
        <v/>
      </c>
      <c r="O221" s="10" t="str">
        <f aca="false">IF(OR(J221="",L221="",L221=0),"",J221/L221)</f>
        <v/>
      </c>
      <c r="P221" s="6"/>
    </row>
    <row r="222" customFormat="false" ht="15" hidden="false" customHeight="false" outlineLevel="0" collapsed="false">
      <c r="A222" s="5"/>
      <c r="B222" s="6"/>
      <c r="C222" s="6"/>
      <c r="D222" s="6"/>
      <c r="E222" s="6"/>
      <c r="F222" s="6"/>
      <c r="G222" s="6"/>
      <c r="H222" s="6"/>
      <c r="I222" s="7"/>
      <c r="J222" s="8"/>
      <c r="K222" s="6"/>
      <c r="L222" s="9" t="str">
        <f aca="false">IF(OR(E222="",H222=""),"",E222*H222)</f>
        <v/>
      </c>
      <c r="M222" s="10" t="str">
        <f aca="false">IF(OR(J222="",H222="",H222=0),"",J222/H222)</f>
        <v/>
      </c>
      <c r="N222" s="10" t="str">
        <f aca="false">IF(OR(J222="",I222="",I222=0),"",J222/I222)</f>
        <v/>
      </c>
      <c r="O222" s="10" t="str">
        <f aca="false">IF(OR(J222="",L222="",L222=0),"",J222/L222)</f>
        <v/>
      </c>
      <c r="P222" s="6"/>
    </row>
    <row r="223" customFormat="false" ht="15" hidden="false" customHeight="false" outlineLevel="0" collapsed="false">
      <c r="A223" s="5"/>
      <c r="B223" s="6"/>
      <c r="C223" s="6"/>
      <c r="D223" s="6"/>
      <c r="E223" s="6"/>
      <c r="F223" s="6"/>
      <c r="G223" s="6"/>
      <c r="H223" s="6"/>
      <c r="I223" s="7"/>
      <c r="J223" s="8"/>
      <c r="K223" s="6"/>
      <c r="L223" s="9" t="str">
        <f aca="false">IF(OR(E223="",H223=""),"",E223*H223)</f>
        <v/>
      </c>
      <c r="M223" s="10" t="str">
        <f aca="false">IF(OR(J223="",H223="",H223=0),"",J223/H223)</f>
        <v/>
      </c>
      <c r="N223" s="10" t="str">
        <f aca="false">IF(OR(J223="",I223="",I223=0),"",J223/I223)</f>
        <v/>
      </c>
      <c r="O223" s="10" t="str">
        <f aca="false">IF(OR(J223="",L223="",L223=0),"",J223/L223)</f>
        <v/>
      </c>
      <c r="P223" s="6"/>
    </row>
    <row r="224" customFormat="false" ht="15" hidden="false" customHeight="false" outlineLevel="0" collapsed="false">
      <c r="A224" s="5"/>
      <c r="B224" s="6"/>
      <c r="C224" s="6"/>
      <c r="D224" s="6"/>
      <c r="E224" s="6"/>
      <c r="F224" s="6"/>
      <c r="G224" s="6"/>
      <c r="H224" s="6"/>
      <c r="I224" s="7"/>
      <c r="J224" s="8"/>
      <c r="K224" s="6"/>
      <c r="L224" s="9" t="str">
        <f aca="false">IF(OR(E224="",H224=""),"",E224*H224)</f>
        <v/>
      </c>
      <c r="M224" s="10" t="str">
        <f aca="false">IF(OR(J224="",H224="",H224=0),"",J224/H224)</f>
        <v/>
      </c>
      <c r="N224" s="10" t="str">
        <f aca="false">IF(OR(J224="",I224="",I224=0),"",J224/I224)</f>
        <v/>
      </c>
      <c r="O224" s="10" t="str">
        <f aca="false">IF(OR(J224="",L224="",L224=0),"",J224/L224)</f>
        <v/>
      </c>
      <c r="P224" s="6"/>
    </row>
    <row r="225" customFormat="false" ht="15" hidden="false" customHeight="false" outlineLevel="0" collapsed="false">
      <c r="A225" s="5"/>
      <c r="B225" s="6"/>
      <c r="C225" s="6"/>
      <c r="D225" s="6"/>
      <c r="E225" s="6"/>
      <c r="F225" s="6"/>
      <c r="G225" s="6"/>
      <c r="H225" s="6"/>
      <c r="I225" s="7"/>
      <c r="J225" s="8"/>
      <c r="K225" s="6"/>
      <c r="L225" s="9" t="str">
        <f aca="false">IF(OR(E225="",H225=""),"",E225*H225)</f>
        <v/>
      </c>
      <c r="M225" s="10" t="str">
        <f aca="false">IF(OR(J225="",H225="",H225=0),"",J225/H225)</f>
        <v/>
      </c>
      <c r="N225" s="10" t="str">
        <f aca="false">IF(OR(J225="",I225="",I225=0),"",J225/I225)</f>
        <v/>
      </c>
      <c r="O225" s="10" t="str">
        <f aca="false">IF(OR(J225="",L225="",L225=0),"",J225/L225)</f>
        <v/>
      </c>
      <c r="P225" s="6"/>
    </row>
    <row r="226" customFormat="false" ht="15" hidden="false" customHeight="false" outlineLevel="0" collapsed="false">
      <c r="A226" s="5"/>
      <c r="B226" s="6"/>
      <c r="C226" s="6"/>
      <c r="D226" s="6"/>
      <c r="E226" s="6"/>
      <c r="F226" s="6"/>
      <c r="G226" s="6"/>
      <c r="H226" s="6"/>
      <c r="I226" s="7"/>
      <c r="J226" s="8"/>
      <c r="K226" s="6"/>
      <c r="L226" s="9" t="str">
        <f aca="false">IF(OR(E226="",H226=""),"",E226*H226)</f>
        <v/>
      </c>
      <c r="M226" s="10" t="str">
        <f aca="false">IF(OR(J226="",H226="",H226=0),"",J226/H226)</f>
        <v/>
      </c>
      <c r="N226" s="10" t="str">
        <f aca="false">IF(OR(J226="",I226="",I226=0),"",J226/I226)</f>
        <v/>
      </c>
      <c r="O226" s="10" t="str">
        <f aca="false">IF(OR(J226="",L226="",L226=0),"",J226/L226)</f>
        <v/>
      </c>
      <c r="P226" s="6"/>
    </row>
    <row r="227" customFormat="false" ht="15" hidden="false" customHeight="false" outlineLevel="0" collapsed="false">
      <c r="A227" s="5"/>
      <c r="B227" s="6"/>
      <c r="C227" s="6"/>
      <c r="D227" s="6"/>
      <c r="E227" s="6"/>
      <c r="F227" s="6"/>
      <c r="G227" s="6"/>
      <c r="H227" s="6"/>
      <c r="I227" s="7"/>
      <c r="J227" s="8"/>
      <c r="K227" s="6"/>
      <c r="L227" s="9" t="str">
        <f aca="false">IF(OR(E227="",H227=""),"",E227*H227)</f>
        <v/>
      </c>
      <c r="M227" s="10" t="str">
        <f aca="false">IF(OR(J227="",H227="",H227=0),"",J227/H227)</f>
        <v/>
      </c>
      <c r="N227" s="10" t="str">
        <f aca="false">IF(OR(J227="",I227="",I227=0),"",J227/I227)</f>
        <v/>
      </c>
      <c r="O227" s="10" t="str">
        <f aca="false">IF(OR(J227="",L227="",L227=0),"",J227/L227)</f>
        <v/>
      </c>
      <c r="P227" s="6"/>
    </row>
    <row r="228" customFormat="false" ht="15" hidden="false" customHeight="false" outlineLevel="0" collapsed="false">
      <c r="A228" s="5"/>
      <c r="B228" s="6"/>
      <c r="C228" s="6"/>
      <c r="D228" s="6"/>
      <c r="E228" s="6"/>
      <c r="F228" s="6"/>
      <c r="G228" s="6"/>
      <c r="H228" s="6"/>
      <c r="I228" s="7"/>
      <c r="J228" s="8"/>
      <c r="K228" s="6"/>
      <c r="L228" s="9" t="str">
        <f aca="false">IF(OR(E228="",H228=""),"",E228*H228)</f>
        <v/>
      </c>
      <c r="M228" s="10" t="str">
        <f aca="false">IF(OR(J228="",H228="",H228=0),"",J228/H228)</f>
        <v/>
      </c>
      <c r="N228" s="10" t="str">
        <f aca="false">IF(OR(J228="",I228="",I228=0),"",J228/I228)</f>
        <v/>
      </c>
      <c r="O228" s="10" t="str">
        <f aca="false">IF(OR(J228="",L228="",L228=0),"",J228/L228)</f>
        <v/>
      </c>
      <c r="P228" s="6"/>
    </row>
    <row r="229" customFormat="false" ht="15" hidden="false" customHeight="false" outlineLevel="0" collapsed="false">
      <c r="A229" s="5"/>
      <c r="B229" s="6"/>
      <c r="C229" s="6"/>
      <c r="D229" s="6"/>
      <c r="E229" s="6"/>
      <c r="F229" s="6"/>
      <c r="G229" s="6"/>
      <c r="H229" s="6"/>
      <c r="I229" s="7"/>
      <c r="J229" s="8"/>
      <c r="K229" s="6"/>
      <c r="L229" s="9" t="str">
        <f aca="false">IF(OR(E229="",H229=""),"",E229*H229)</f>
        <v/>
      </c>
      <c r="M229" s="10" t="str">
        <f aca="false">IF(OR(J229="",H229="",H229=0),"",J229/H229)</f>
        <v/>
      </c>
      <c r="N229" s="10" t="str">
        <f aca="false">IF(OR(J229="",I229="",I229=0),"",J229/I229)</f>
        <v/>
      </c>
      <c r="O229" s="10" t="str">
        <f aca="false">IF(OR(J229="",L229="",L229=0),"",J229/L229)</f>
        <v/>
      </c>
      <c r="P229" s="6"/>
    </row>
    <row r="230" customFormat="false" ht="15" hidden="false" customHeight="false" outlineLevel="0" collapsed="false">
      <c r="A230" s="5"/>
      <c r="B230" s="6"/>
      <c r="C230" s="6"/>
      <c r="D230" s="6"/>
      <c r="E230" s="6"/>
      <c r="F230" s="6"/>
      <c r="G230" s="6"/>
      <c r="H230" s="6"/>
      <c r="I230" s="7"/>
      <c r="J230" s="8"/>
      <c r="K230" s="6"/>
      <c r="L230" s="9" t="str">
        <f aca="false">IF(OR(E230="",H230=""),"",E230*H230)</f>
        <v/>
      </c>
      <c r="M230" s="10" t="str">
        <f aca="false">IF(OR(J230="",H230="",H230=0),"",J230/H230)</f>
        <v/>
      </c>
      <c r="N230" s="10" t="str">
        <f aca="false">IF(OR(J230="",I230="",I230=0),"",J230/I230)</f>
        <v/>
      </c>
      <c r="O230" s="10" t="str">
        <f aca="false">IF(OR(J230="",L230="",L230=0),"",J230/L230)</f>
        <v/>
      </c>
      <c r="P230" s="6"/>
    </row>
    <row r="231" customFormat="false" ht="15" hidden="false" customHeight="false" outlineLevel="0" collapsed="false">
      <c r="A231" s="5"/>
      <c r="B231" s="6"/>
      <c r="C231" s="6"/>
      <c r="D231" s="6"/>
      <c r="E231" s="6"/>
      <c r="F231" s="6"/>
      <c r="G231" s="6"/>
      <c r="H231" s="6"/>
      <c r="I231" s="7"/>
      <c r="J231" s="8"/>
      <c r="K231" s="6"/>
      <c r="L231" s="9" t="str">
        <f aca="false">IF(OR(E231="",H231=""),"",E231*H231)</f>
        <v/>
      </c>
      <c r="M231" s="10" t="str">
        <f aca="false">IF(OR(J231="",H231="",H231=0),"",J231/H231)</f>
        <v/>
      </c>
      <c r="N231" s="10" t="str">
        <f aca="false">IF(OR(J231="",I231="",I231=0),"",J231/I231)</f>
        <v/>
      </c>
      <c r="O231" s="10" t="str">
        <f aca="false">IF(OR(J231="",L231="",L231=0),"",J231/L231)</f>
        <v/>
      </c>
      <c r="P231" s="6"/>
    </row>
    <row r="232" customFormat="false" ht="15" hidden="false" customHeight="false" outlineLevel="0" collapsed="false">
      <c r="A232" s="5"/>
      <c r="B232" s="6"/>
      <c r="C232" s="6"/>
      <c r="D232" s="6"/>
      <c r="E232" s="6"/>
      <c r="F232" s="6"/>
      <c r="G232" s="6"/>
      <c r="H232" s="6"/>
      <c r="I232" s="7"/>
      <c r="J232" s="8"/>
      <c r="K232" s="6"/>
      <c r="L232" s="9" t="str">
        <f aca="false">IF(OR(E232="",H232=""),"",E232*H232)</f>
        <v/>
      </c>
      <c r="M232" s="10" t="str">
        <f aca="false">IF(OR(J232="",H232="",H232=0),"",J232/H232)</f>
        <v/>
      </c>
      <c r="N232" s="10" t="str">
        <f aca="false">IF(OR(J232="",I232="",I232=0),"",J232/I232)</f>
        <v/>
      </c>
      <c r="O232" s="10" t="str">
        <f aca="false">IF(OR(J232="",L232="",L232=0),"",J232/L232)</f>
        <v/>
      </c>
      <c r="P232" s="6"/>
    </row>
    <row r="233" customFormat="false" ht="15" hidden="false" customHeight="false" outlineLevel="0" collapsed="false">
      <c r="A233" s="5"/>
      <c r="B233" s="6"/>
      <c r="C233" s="6"/>
      <c r="D233" s="6"/>
      <c r="E233" s="6"/>
      <c r="F233" s="6"/>
      <c r="G233" s="6"/>
      <c r="H233" s="6"/>
      <c r="I233" s="7"/>
      <c r="J233" s="8"/>
      <c r="K233" s="6"/>
      <c r="L233" s="9" t="str">
        <f aca="false">IF(OR(E233="",H233=""),"",E233*H233)</f>
        <v/>
      </c>
      <c r="M233" s="10" t="str">
        <f aca="false">IF(OR(J233="",H233="",H233=0),"",J233/H233)</f>
        <v/>
      </c>
      <c r="N233" s="10" t="str">
        <f aca="false">IF(OR(J233="",I233="",I233=0),"",J233/I233)</f>
        <v/>
      </c>
      <c r="O233" s="10" t="str">
        <f aca="false">IF(OR(J233="",L233="",L233=0),"",J233/L233)</f>
        <v/>
      </c>
      <c r="P233" s="6"/>
    </row>
    <row r="234" customFormat="false" ht="15" hidden="false" customHeight="false" outlineLevel="0" collapsed="false">
      <c r="A234" s="5"/>
      <c r="B234" s="6"/>
      <c r="C234" s="6"/>
      <c r="D234" s="6"/>
      <c r="E234" s="6"/>
      <c r="F234" s="6"/>
      <c r="G234" s="6"/>
      <c r="H234" s="6"/>
      <c r="I234" s="7"/>
      <c r="J234" s="8"/>
      <c r="K234" s="6"/>
      <c r="L234" s="9" t="str">
        <f aca="false">IF(OR(E234="",H234=""),"",E234*H234)</f>
        <v/>
      </c>
      <c r="M234" s="10" t="str">
        <f aca="false">IF(OR(J234="",H234="",H234=0),"",J234/H234)</f>
        <v/>
      </c>
      <c r="N234" s="10" t="str">
        <f aca="false">IF(OR(J234="",I234="",I234=0),"",J234/I234)</f>
        <v/>
      </c>
      <c r="O234" s="10" t="str">
        <f aca="false">IF(OR(J234="",L234="",L234=0),"",J234/L234)</f>
        <v/>
      </c>
      <c r="P234" s="6"/>
    </row>
    <row r="235" customFormat="false" ht="15" hidden="false" customHeight="false" outlineLevel="0" collapsed="false">
      <c r="A235" s="5"/>
      <c r="B235" s="6"/>
      <c r="C235" s="6"/>
      <c r="D235" s="6"/>
      <c r="E235" s="6"/>
      <c r="F235" s="6"/>
      <c r="G235" s="6"/>
      <c r="H235" s="6"/>
      <c r="I235" s="7"/>
      <c r="J235" s="8"/>
      <c r="K235" s="6"/>
      <c r="L235" s="9" t="str">
        <f aca="false">IF(OR(E235="",H235=""),"",E235*H235)</f>
        <v/>
      </c>
      <c r="M235" s="10" t="str">
        <f aca="false">IF(OR(J235="",H235="",H235=0),"",J235/H235)</f>
        <v/>
      </c>
      <c r="N235" s="10" t="str">
        <f aca="false">IF(OR(J235="",I235="",I235=0),"",J235/I235)</f>
        <v/>
      </c>
      <c r="O235" s="10" t="str">
        <f aca="false">IF(OR(J235="",L235="",L235=0),"",J235/L235)</f>
        <v/>
      </c>
      <c r="P235" s="6"/>
    </row>
    <row r="236" customFormat="false" ht="15" hidden="false" customHeight="false" outlineLevel="0" collapsed="false">
      <c r="A236" s="5"/>
      <c r="B236" s="6"/>
      <c r="C236" s="6"/>
      <c r="D236" s="6"/>
      <c r="E236" s="6"/>
      <c r="F236" s="6"/>
      <c r="G236" s="6"/>
      <c r="H236" s="6"/>
      <c r="I236" s="7"/>
      <c r="J236" s="8"/>
      <c r="K236" s="6"/>
      <c r="L236" s="9" t="str">
        <f aca="false">IF(OR(E236="",H236=""),"",E236*H236)</f>
        <v/>
      </c>
      <c r="M236" s="10" t="str">
        <f aca="false">IF(OR(J236="",H236="",H236=0),"",J236/H236)</f>
        <v/>
      </c>
      <c r="N236" s="10" t="str">
        <f aca="false">IF(OR(J236="",I236="",I236=0),"",J236/I236)</f>
        <v/>
      </c>
      <c r="O236" s="10" t="str">
        <f aca="false">IF(OR(J236="",L236="",L236=0),"",J236/L236)</f>
        <v/>
      </c>
      <c r="P236" s="6"/>
    </row>
    <row r="237" customFormat="false" ht="15" hidden="false" customHeight="false" outlineLevel="0" collapsed="false">
      <c r="A237" s="5"/>
      <c r="B237" s="6"/>
      <c r="C237" s="6"/>
      <c r="D237" s="6"/>
      <c r="E237" s="6"/>
      <c r="F237" s="6"/>
      <c r="G237" s="6"/>
      <c r="H237" s="6"/>
      <c r="I237" s="7"/>
      <c r="J237" s="8"/>
      <c r="K237" s="6"/>
      <c r="L237" s="9" t="str">
        <f aca="false">IF(OR(E237="",H237=""),"",E237*H237)</f>
        <v/>
      </c>
      <c r="M237" s="10" t="str">
        <f aca="false">IF(OR(J237="",H237="",H237=0),"",J237/H237)</f>
        <v/>
      </c>
      <c r="N237" s="10" t="str">
        <f aca="false">IF(OR(J237="",I237="",I237=0),"",J237/I237)</f>
        <v/>
      </c>
      <c r="O237" s="10" t="str">
        <f aca="false">IF(OR(J237="",L237="",L237=0),"",J237/L237)</f>
        <v/>
      </c>
      <c r="P237" s="6"/>
    </row>
    <row r="238" customFormat="false" ht="15" hidden="false" customHeight="false" outlineLevel="0" collapsed="false">
      <c r="A238" s="5"/>
      <c r="B238" s="6"/>
      <c r="C238" s="6"/>
      <c r="D238" s="6"/>
      <c r="E238" s="6"/>
      <c r="F238" s="6"/>
      <c r="G238" s="6"/>
      <c r="H238" s="6"/>
      <c r="I238" s="7"/>
      <c r="J238" s="8"/>
      <c r="K238" s="6"/>
      <c r="L238" s="9" t="str">
        <f aca="false">IF(OR(E238="",H238=""),"",E238*H238)</f>
        <v/>
      </c>
      <c r="M238" s="10" t="str">
        <f aca="false">IF(OR(J238="",H238="",H238=0),"",J238/H238)</f>
        <v/>
      </c>
      <c r="N238" s="10" t="str">
        <f aca="false">IF(OR(J238="",I238="",I238=0),"",J238/I238)</f>
        <v/>
      </c>
      <c r="O238" s="10" t="str">
        <f aca="false">IF(OR(J238="",L238="",L238=0),"",J238/L238)</f>
        <v/>
      </c>
      <c r="P238" s="6"/>
    </row>
    <row r="239" customFormat="false" ht="15" hidden="false" customHeight="false" outlineLevel="0" collapsed="false">
      <c r="A239" s="5"/>
      <c r="B239" s="6"/>
      <c r="C239" s="6"/>
      <c r="D239" s="6"/>
      <c r="E239" s="6"/>
      <c r="F239" s="6"/>
      <c r="G239" s="6"/>
      <c r="H239" s="6"/>
      <c r="I239" s="7"/>
      <c r="J239" s="8"/>
      <c r="K239" s="6"/>
      <c r="L239" s="9" t="str">
        <f aca="false">IF(OR(E239="",H239=""),"",E239*H239)</f>
        <v/>
      </c>
      <c r="M239" s="10" t="str">
        <f aca="false">IF(OR(J239="",H239="",H239=0),"",J239/H239)</f>
        <v/>
      </c>
      <c r="N239" s="10" t="str">
        <f aca="false">IF(OR(J239="",I239="",I239=0),"",J239/I239)</f>
        <v/>
      </c>
      <c r="O239" s="10" t="str">
        <f aca="false">IF(OR(J239="",L239="",L239=0),"",J239/L239)</f>
        <v/>
      </c>
      <c r="P239" s="6"/>
    </row>
    <row r="240" customFormat="false" ht="15" hidden="false" customHeight="false" outlineLevel="0" collapsed="false">
      <c r="A240" s="5"/>
      <c r="B240" s="6"/>
      <c r="C240" s="6"/>
      <c r="D240" s="6"/>
      <c r="E240" s="6"/>
      <c r="F240" s="6"/>
      <c r="G240" s="6"/>
      <c r="H240" s="6"/>
      <c r="I240" s="7"/>
      <c r="J240" s="8"/>
      <c r="K240" s="6"/>
      <c r="L240" s="9" t="str">
        <f aca="false">IF(OR(E240="",H240=""),"",E240*H240)</f>
        <v/>
      </c>
      <c r="M240" s="10" t="str">
        <f aca="false">IF(OR(J240="",H240="",H240=0),"",J240/H240)</f>
        <v/>
      </c>
      <c r="N240" s="10" t="str">
        <f aca="false">IF(OR(J240="",I240="",I240=0),"",J240/I240)</f>
        <v/>
      </c>
      <c r="O240" s="10" t="str">
        <f aca="false">IF(OR(J240="",L240="",L240=0),"",J240/L240)</f>
        <v/>
      </c>
      <c r="P240" s="6"/>
    </row>
    <row r="241" customFormat="false" ht="15" hidden="false" customHeight="false" outlineLevel="0" collapsed="false">
      <c r="A241" s="5"/>
      <c r="B241" s="6"/>
      <c r="C241" s="6"/>
      <c r="D241" s="6"/>
      <c r="E241" s="6"/>
      <c r="F241" s="6"/>
      <c r="G241" s="6"/>
      <c r="H241" s="6"/>
      <c r="I241" s="7"/>
      <c r="J241" s="8"/>
      <c r="K241" s="6"/>
      <c r="L241" s="9" t="str">
        <f aca="false">IF(OR(E241="",H241=""),"",E241*H241)</f>
        <v/>
      </c>
      <c r="M241" s="10" t="str">
        <f aca="false">IF(OR(J241="",H241="",H241=0),"",J241/H241)</f>
        <v/>
      </c>
      <c r="N241" s="10" t="str">
        <f aca="false">IF(OR(J241="",I241="",I241=0),"",J241/I241)</f>
        <v/>
      </c>
      <c r="O241" s="10" t="str">
        <f aca="false">IF(OR(J241="",L241="",L241=0),"",J241/L241)</f>
        <v/>
      </c>
      <c r="P241" s="6"/>
    </row>
    <row r="242" customFormat="false" ht="15" hidden="false" customHeight="false" outlineLevel="0" collapsed="false">
      <c r="A242" s="5"/>
      <c r="B242" s="6"/>
      <c r="C242" s="6"/>
      <c r="D242" s="6"/>
      <c r="E242" s="6"/>
      <c r="F242" s="6"/>
      <c r="G242" s="6"/>
      <c r="H242" s="6"/>
      <c r="I242" s="7"/>
      <c r="J242" s="8"/>
      <c r="K242" s="6"/>
      <c r="L242" s="9" t="str">
        <f aca="false">IF(OR(E242="",H242=""),"",E242*H242)</f>
        <v/>
      </c>
      <c r="M242" s="10" t="str">
        <f aca="false">IF(OR(J242="",H242="",H242=0),"",J242/H242)</f>
        <v/>
      </c>
      <c r="N242" s="10" t="str">
        <f aca="false">IF(OR(J242="",I242="",I242=0),"",J242/I242)</f>
        <v/>
      </c>
      <c r="O242" s="10" t="str">
        <f aca="false">IF(OR(J242="",L242="",L242=0),"",J242/L242)</f>
        <v/>
      </c>
      <c r="P242" s="6"/>
    </row>
    <row r="243" customFormat="false" ht="15" hidden="false" customHeight="false" outlineLevel="0" collapsed="false">
      <c r="A243" s="5"/>
      <c r="B243" s="6"/>
      <c r="C243" s="6"/>
      <c r="D243" s="6"/>
      <c r="E243" s="6"/>
      <c r="F243" s="6"/>
      <c r="G243" s="6"/>
      <c r="H243" s="6"/>
      <c r="I243" s="7"/>
      <c r="J243" s="8"/>
      <c r="K243" s="6"/>
      <c r="L243" s="9" t="str">
        <f aca="false">IF(OR(E243="",H243=""),"",E243*H243)</f>
        <v/>
      </c>
      <c r="M243" s="10" t="str">
        <f aca="false">IF(OR(J243="",H243="",H243=0),"",J243/H243)</f>
        <v/>
      </c>
      <c r="N243" s="10" t="str">
        <f aca="false">IF(OR(J243="",I243="",I243=0),"",J243/I243)</f>
        <v/>
      </c>
      <c r="O243" s="10" t="str">
        <f aca="false">IF(OR(J243="",L243="",L243=0),"",J243/L243)</f>
        <v/>
      </c>
      <c r="P243" s="6"/>
    </row>
    <row r="244" customFormat="false" ht="15" hidden="false" customHeight="false" outlineLevel="0" collapsed="false">
      <c r="A244" s="5"/>
      <c r="B244" s="6"/>
      <c r="C244" s="6"/>
      <c r="D244" s="6"/>
      <c r="E244" s="6"/>
      <c r="F244" s="6"/>
      <c r="G244" s="6"/>
      <c r="H244" s="6"/>
      <c r="I244" s="7"/>
      <c r="J244" s="8"/>
      <c r="K244" s="6"/>
      <c r="L244" s="9" t="str">
        <f aca="false">IF(OR(E244="",H244=""),"",E244*H244)</f>
        <v/>
      </c>
      <c r="M244" s="10" t="str">
        <f aca="false">IF(OR(J244="",H244="",H244=0),"",J244/H244)</f>
        <v/>
      </c>
      <c r="N244" s="10" t="str">
        <f aca="false">IF(OR(J244="",I244="",I244=0),"",J244/I244)</f>
        <v/>
      </c>
      <c r="O244" s="10" t="str">
        <f aca="false">IF(OR(J244="",L244="",L244=0),"",J244/L244)</f>
        <v/>
      </c>
      <c r="P244" s="6"/>
    </row>
    <row r="245" customFormat="false" ht="15" hidden="false" customHeight="false" outlineLevel="0" collapsed="false">
      <c r="A245" s="5"/>
      <c r="B245" s="6"/>
      <c r="C245" s="6"/>
      <c r="D245" s="6"/>
      <c r="E245" s="6"/>
      <c r="F245" s="6"/>
      <c r="G245" s="6"/>
      <c r="H245" s="6"/>
      <c r="I245" s="7"/>
      <c r="J245" s="8"/>
      <c r="K245" s="6"/>
      <c r="L245" s="9" t="str">
        <f aca="false">IF(OR(E245="",H245=""),"",E245*H245)</f>
        <v/>
      </c>
      <c r="M245" s="10" t="str">
        <f aca="false">IF(OR(J245="",H245="",H245=0),"",J245/H245)</f>
        <v/>
      </c>
      <c r="N245" s="10" t="str">
        <f aca="false">IF(OR(J245="",I245="",I245=0),"",J245/I245)</f>
        <v/>
      </c>
      <c r="O245" s="10" t="str">
        <f aca="false">IF(OR(J245="",L245="",L245=0),"",J245/L245)</f>
        <v/>
      </c>
      <c r="P245" s="6"/>
    </row>
    <row r="246" customFormat="false" ht="15" hidden="false" customHeight="false" outlineLevel="0" collapsed="false">
      <c r="A246" s="5"/>
      <c r="B246" s="6"/>
      <c r="C246" s="6"/>
      <c r="D246" s="6"/>
      <c r="E246" s="6"/>
      <c r="F246" s="6"/>
      <c r="G246" s="6"/>
      <c r="H246" s="6"/>
      <c r="I246" s="7"/>
      <c r="J246" s="8"/>
      <c r="K246" s="6"/>
      <c r="L246" s="9" t="str">
        <f aca="false">IF(OR(E246="",H246=""),"",E246*H246)</f>
        <v/>
      </c>
      <c r="M246" s="10" t="str">
        <f aca="false">IF(OR(J246="",H246="",H246=0),"",J246/H246)</f>
        <v/>
      </c>
      <c r="N246" s="10" t="str">
        <f aca="false">IF(OR(J246="",I246="",I246=0),"",J246/I246)</f>
        <v/>
      </c>
      <c r="O246" s="10" t="str">
        <f aca="false">IF(OR(J246="",L246="",L246=0),"",J246/L246)</f>
        <v/>
      </c>
      <c r="P246" s="6"/>
    </row>
    <row r="247" customFormat="false" ht="15" hidden="false" customHeight="false" outlineLevel="0" collapsed="false">
      <c r="A247" s="5"/>
      <c r="B247" s="6"/>
      <c r="C247" s="6"/>
      <c r="D247" s="6"/>
      <c r="E247" s="6"/>
      <c r="F247" s="6"/>
      <c r="G247" s="6"/>
      <c r="H247" s="6"/>
      <c r="I247" s="7"/>
      <c r="J247" s="8"/>
      <c r="K247" s="6"/>
      <c r="L247" s="9" t="str">
        <f aca="false">IF(OR(E247="",H247=""),"",E247*H247)</f>
        <v/>
      </c>
      <c r="M247" s="10" t="str">
        <f aca="false">IF(OR(J247="",H247="",H247=0),"",J247/H247)</f>
        <v/>
      </c>
      <c r="N247" s="10" t="str">
        <f aca="false">IF(OR(J247="",I247="",I247=0),"",J247/I247)</f>
        <v/>
      </c>
      <c r="O247" s="10" t="str">
        <f aca="false">IF(OR(J247="",L247="",L247=0),"",J247/L247)</f>
        <v/>
      </c>
      <c r="P247" s="6"/>
    </row>
    <row r="248" customFormat="false" ht="15" hidden="false" customHeight="false" outlineLevel="0" collapsed="false">
      <c r="A248" s="5"/>
      <c r="B248" s="6"/>
      <c r="C248" s="6"/>
      <c r="D248" s="6"/>
      <c r="E248" s="6"/>
      <c r="F248" s="6"/>
      <c r="G248" s="6"/>
      <c r="H248" s="6"/>
      <c r="I248" s="7"/>
      <c r="J248" s="8"/>
      <c r="K248" s="6"/>
      <c r="L248" s="9" t="str">
        <f aca="false">IF(OR(E248="",H248=""),"",E248*H248)</f>
        <v/>
      </c>
      <c r="M248" s="10" t="str">
        <f aca="false">IF(OR(J248="",H248="",H248=0),"",J248/H248)</f>
        <v/>
      </c>
      <c r="N248" s="10" t="str">
        <f aca="false">IF(OR(J248="",I248="",I248=0),"",J248/I248)</f>
        <v/>
      </c>
      <c r="O248" s="10" t="str">
        <f aca="false">IF(OR(J248="",L248="",L248=0),"",J248/L248)</f>
        <v/>
      </c>
      <c r="P248" s="6"/>
    </row>
    <row r="249" customFormat="false" ht="15" hidden="false" customHeight="false" outlineLevel="0" collapsed="false">
      <c r="A249" s="5"/>
      <c r="B249" s="6"/>
      <c r="C249" s="6"/>
      <c r="D249" s="6"/>
      <c r="E249" s="6"/>
      <c r="F249" s="6"/>
      <c r="G249" s="6"/>
      <c r="H249" s="6"/>
      <c r="I249" s="7"/>
      <c r="J249" s="8"/>
      <c r="K249" s="6"/>
      <c r="L249" s="9" t="str">
        <f aca="false">IF(OR(E249="",H249=""),"",E249*H249)</f>
        <v/>
      </c>
      <c r="M249" s="10" t="str">
        <f aca="false">IF(OR(J249="",H249="",H249=0),"",J249/H249)</f>
        <v/>
      </c>
      <c r="N249" s="10" t="str">
        <f aca="false">IF(OR(J249="",I249="",I249=0),"",J249/I249)</f>
        <v/>
      </c>
      <c r="O249" s="10" t="str">
        <f aca="false">IF(OR(J249="",L249="",L249=0),"",J249/L249)</f>
        <v/>
      </c>
      <c r="P249" s="6"/>
    </row>
    <row r="250" customFormat="false" ht="15" hidden="false" customHeight="false" outlineLevel="0" collapsed="false">
      <c r="A250" s="5"/>
      <c r="B250" s="6"/>
      <c r="C250" s="6"/>
      <c r="D250" s="6"/>
      <c r="E250" s="6"/>
      <c r="F250" s="6"/>
      <c r="G250" s="6"/>
      <c r="H250" s="6"/>
      <c r="I250" s="7"/>
      <c r="J250" s="8"/>
      <c r="K250" s="6"/>
      <c r="L250" s="9" t="str">
        <f aca="false">IF(OR(E250="",H250=""),"",E250*H250)</f>
        <v/>
      </c>
      <c r="M250" s="10" t="str">
        <f aca="false">IF(OR(J250="",H250="",H250=0),"",J250/H250)</f>
        <v/>
      </c>
      <c r="N250" s="10" t="str">
        <f aca="false">IF(OR(J250="",I250="",I250=0),"",J250/I250)</f>
        <v/>
      </c>
      <c r="O250" s="10" t="str">
        <f aca="false">IF(OR(J250="",L250="",L250=0),"",J250/L250)</f>
        <v/>
      </c>
      <c r="P250" s="6"/>
    </row>
    <row r="251" customFormat="false" ht="15" hidden="false" customHeight="false" outlineLevel="0" collapsed="false">
      <c r="A251" s="5"/>
      <c r="B251" s="6"/>
      <c r="C251" s="6"/>
      <c r="D251" s="6"/>
      <c r="E251" s="6"/>
      <c r="F251" s="6"/>
      <c r="G251" s="6"/>
      <c r="H251" s="6"/>
      <c r="I251" s="7"/>
      <c r="J251" s="8"/>
      <c r="K251" s="6"/>
      <c r="L251" s="9" t="str">
        <f aca="false">IF(OR(E251="",H251=""),"",E251*H251)</f>
        <v/>
      </c>
      <c r="M251" s="10" t="str">
        <f aca="false">IF(OR(J251="",H251="",H251=0),"",J251/H251)</f>
        <v/>
      </c>
      <c r="N251" s="10" t="str">
        <f aca="false">IF(OR(J251="",I251="",I251=0),"",J251/I251)</f>
        <v/>
      </c>
      <c r="O251" s="10" t="str">
        <f aca="false">IF(OR(J251="",L251="",L251=0),"",J251/L251)</f>
        <v/>
      </c>
      <c r="P251" s="6"/>
    </row>
    <row r="252" customFormat="false" ht="15" hidden="false" customHeight="false" outlineLevel="0" collapsed="false">
      <c r="A252" s="5"/>
      <c r="B252" s="6"/>
      <c r="C252" s="6"/>
      <c r="D252" s="6"/>
      <c r="E252" s="6"/>
      <c r="F252" s="6"/>
      <c r="G252" s="6"/>
      <c r="H252" s="6"/>
      <c r="I252" s="7"/>
      <c r="J252" s="8"/>
      <c r="K252" s="6"/>
      <c r="L252" s="9" t="str">
        <f aca="false">IF(OR(E252="",H252=""),"",E252*H252)</f>
        <v/>
      </c>
      <c r="M252" s="10" t="str">
        <f aca="false">IF(OR(J252="",H252="",H252=0),"",J252/H252)</f>
        <v/>
      </c>
      <c r="N252" s="10" t="str">
        <f aca="false">IF(OR(J252="",I252="",I252=0),"",J252/I252)</f>
        <v/>
      </c>
      <c r="O252" s="10" t="str">
        <f aca="false">IF(OR(J252="",L252="",L252=0),"",J252/L252)</f>
        <v/>
      </c>
      <c r="P252" s="6"/>
    </row>
    <row r="253" customFormat="false" ht="15" hidden="false" customHeight="false" outlineLevel="0" collapsed="false">
      <c r="A253" s="5"/>
      <c r="B253" s="6"/>
      <c r="C253" s="6"/>
      <c r="D253" s="6"/>
      <c r="E253" s="6"/>
      <c r="F253" s="6"/>
      <c r="G253" s="6"/>
      <c r="H253" s="6"/>
      <c r="I253" s="7"/>
      <c r="J253" s="8"/>
      <c r="K253" s="6"/>
      <c r="L253" s="9" t="str">
        <f aca="false">IF(OR(E253="",H253=""),"",E253*H253)</f>
        <v/>
      </c>
      <c r="M253" s="10" t="str">
        <f aca="false">IF(OR(J253="",H253="",H253=0),"",J253/H253)</f>
        <v/>
      </c>
      <c r="N253" s="10" t="str">
        <f aca="false">IF(OR(J253="",I253="",I253=0),"",J253/I253)</f>
        <v/>
      </c>
      <c r="O253" s="10" t="str">
        <f aca="false">IF(OR(J253="",L253="",L253=0),"",J253/L253)</f>
        <v/>
      </c>
      <c r="P253" s="6"/>
    </row>
    <row r="254" customFormat="false" ht="15" hidden="false" customHeight="false" outlineLevel="0" collapsed="false">
      <c r="A254" s="5"/>
      <c r="B254" s="6"/>
      <c r="C254" s="6"/>
      <c r="D254" s="6"/>
      <c r="E254" s="6"/>
      <c r="F254" s="6"/>
      <c r="G254" s="6"/>
      <c r="H254" s="6"/>
      <c r="I254" s="7"/>
      <c r="J254" s="8"/>
      <c r="K254" s="6"/>
      <c r="L254" s="9" t="str">
        <f aca="false">IF(OR(E254="",H254=""),"",E254*H254)</f>
        <v/>
      </c>
      <c r="M254" s="10" t="str">
        <f aca="false">IF(OR(J254="",H254="",H254=0),"",J254/H254)</f>
        <v/>
      </c>
      <c r="N254" s="10" t="str">
        <f aca="false">IF(OR(J254="",I254="",I254=0),"",J254/I254)</f>
        <v/>
      </c>
      <c r="O254" s="10" t="str">
        <f aca="false">IF(OR(J254="",L254="",L254=0),"",J254/L254)</f>
        <v/>
      </c>
      <c r="P254" s="6"/>
    </row>
    <row r="255" customFormat="false" ht="15" hidden="false" customHeight="false" outlineLevel="0" collapsed="false">
      <c r="A255" s="5"/>
      <c r="B255" s="6"/>
      <c r="C255" s="6"/>
      <c r="D255" s="6"/>
      <c r="E255" s="6"/>
      <c r="F255" s="6"/>
      <c r="G255" s="6"/>
      <c r="H255" s="6"/>
      <c r="I255" s="7"/>
      <c r="J255" s="8"/>
      <c r="K255" s="6"/>
      <c r="L255" s="9" t="str">
        <f aca="false">IF(OR(E255="",H255=""),"",E255*H255)</f>
        <v/>
      </c>
      <c r="M255" s="10" t="str">
        <f aca="false">IF(OR(J255="",H255="",H255=0),"",J255/H255)</f>
        <v/>
      </c>
      <c r="N255" s="10" t="str">
        <f aca="false">IF(OR(J255="",I255="",I255=0),"",J255/I255)</f>
        <v/>
      </c>
      <c r="O255" s="10" t="str">
        <f aca="false">IF(OR(J255="",L255="",L255=0),"",J255/L255)</f>
        <v/>
      </c>
      <c r="P255" s="6"/>
    </row>
    <row r="256" customFormat="false" ht="15" hidden="false" customHeight="false" outlineLevel="0" collapsed="false">
      <c r="A256" s="5"/>
      <c r="B256" s="6"/>
      <c r="C256" s="6"/>
      <c r="D256" s="6"/>
      <c r="E256" s="6"/>
      <c r="F256" s="6"/>
      <c r="G256" s="6"/>
      <c r="H256" s="6"/>
      <c r="I256" s="7"/>
      <c r="J256" s="8"/>
      <c r="K256" s="6"/>
      <c r="L256" s="9" t="str">
        <f aca="false">IF(OR(E256="",H256=""),"",E256*H256)</f>
        <v/>
      </c>
      <c r="M256" s="10" t="str">
        <f aca="false">IF(OR(J256="",H256="",H256=0),"",J256/H256)</f>
        <v/>
      </c>
      <c r="N256" s="10" t="str">
        <f aca="false">IF(OR(J256="",I256="",I256=0),"",J256/I256)</f>
        <v/>
      </c>
      <c r="O256" s="10" t="str">
        <f aca="false">IF(OR(J256="",L256="",L256=0),"",J256/L256)</f>
        <v/>
      </c>
      <c r="P256" s="6"/>
    </row>
    <row r="257" customFormat="false" ht="15" hidden="false" customHeight="false" outlineLevel="0" collapsed="false">
      <c r="A257" s="5"/>
      <c r="B257" s="6"/>
      <c r="C257" s="6"/>
      <c r="D257" s="6"/>
      <c r="E257" s="6"/>
      <c r="F257" s="6"/>
      <c r="G257" s="6"/>
      <c r="H257" s="6"/>
      <c r="I257" s="7"/>
      <c r="J257" s="8"/>
      <c r="K257" s="6"/>
      <c r="L257" s="9" t="str">
        <f aca="false">IF(OR(E257="",H257=""),"",E257*H257)</f>
        <v/>
      </c>
      <c r="M257" s="10" t="str">
        <f aca="false">IF(OR(J257="",H257="",H257=0),"",J257/H257)</f>
        <v/>
      </c>
      <c r="N257" s="10" t="str">
        <f aca="false">IF(OR(J257="",I257="",I257=0),"",J257/I257)</f>
        <v/>
      </c>
      <c r="O257" s="10" t="str">
        <f aca="false">IF(OR(J257="",L257="",L257=0),"",J257/L257)</f>
        <v/>
      </c>
      <c r="P257" s="6"/>
    </row>
    <row r="258" customFormat="false" ht="15" hidden="false" customHeight="false" outlineLevel="0" collapsed="false">
      <c r="A258" s="5"/>
      <c r="B258" s="6"/>
      <c r="C258" s="6"/>
      <c r="D258" s="6"/>
      <c r="E258" s="6"/>
      <c r="F258" s="6"/>
      <c r="G258" s="6"/>
      <c r="H258" s="6"/>
      <c r="I258" s="7"/>
      <c r="J258" s="8"/>
      <c r="K258" s="6"/>
      <c r="L258" s="9" t="str">
        <f aca="false">IF(OR(E258="",H258=""),"",E258*H258)</f>
        <v/>
      </c>
      <c r="M258" s="10" t="str">
        <f aca="false">IF(OR(J258="",H258="",H258=0),"",J258/H258)</f>
        <v/>
      </c>
      <c r="N258" s="10" t="str">
        <f aca="false">IF(OR(J258="",I258="",I258=0),"",J258/I258)</f>
        <v/>
      </c>
      <c r="O258" s="10" t="str">
        <f aca="false">IF(OR(J258="",L258="",L258=0),"",J258/L258)</f>
        <v/>
      </c>
      <c r="P258" s="6"/>
    </row>
    <row r="259" customFormat="false" ht="15" hidden="false" customHeight="false" outlineLevel="0" collapsed="false">
      <c r="A259" s="5"/>
      <c r="B259" s="6"/>
      <c r="C259" s="6"/>
      <c r="D259" s="6"/>
      <c r="E259" s="6"/>
      <c r="F259" s="6"/>
      <c r="G259" s="6"/>
      <c r="H259" s="6"/>
      <c r="I259" s="7"/>
      <c r="J259" s="8"/>
      <c r="K259" s="6"/>
      <c r="L259" s="9" t="str">
        <f aca="false">IF(OR(E259="",H259=""),"",E259*H259)</f>
        <v/>
      </c>
      <c r="M259" s="10" t="str">
        <f aca="false">IF(OR(J259="",H259="",H259=0),"",J259/H259)</f>
        <v/>
      </c>
      <c r="N259" s="10" t="str">
        <f aca="false">IF(OR(J259="",I259="",I259=0),"",J259/I259)</f>
        <v/>
      </c>
      <c r="O259" s="10" t="str">
        <f aca="false">IF(OR(J259="",L259="",L259=0),"",J259/L259)</f>
        <v/>
      </c>
      <c r="P259" s="6"/>
    </row>
    <row r="260" customFormat="false" ht="15" hidden="false" customHeight="false" outlineLevel="0" collapsed="false">
      <c r="A260" s="5"/>
      <c r="B260" s="6"/>
      <c r="C260" s="6"/>
      <c r="D260" s="6"/>
      <c r="E260" s="6"/>
      <c r="F260" s="6"/>
      <c r="G260" s="6"/>
      <c r="H260" s="6"/>
      <c r="I260" s="7"/>
      <c r="J260" s="8"/>
      <c r="K260" s="6"/>
      <c r="L260" s="9" t="str">
        <f aca="false">IF(OR(E260="",H260=""),"",E260*H260)</f>
        <v/>
      </c>
      <c r="M260" s="10" t="str">
        <f aca="false">IF(OR(J260="",H260="",H260=0),"",J260/H260)</f>
        <v/>
      </c>
      <c r="N260" s="10" t="str">
        <f aca="false">IF(OR(J260="",I260="",I260=0),"",J260/I260)</f>
        <v/>
      </c>
      <c r="O260" s="10" t="str">
        <f aca="false">IF(OR(J260="",L260="",L260=0),"",J260/L260)</f>
        <v/>
      </c>
      <c r="P260" s="6"/>
    </row>
    <row r="261" customFormat="false" ht="15" hidden="false" customHeight="false" outlineLevel="0" collapsed="false">
      <c r="A261" s="5"/>
      <c r="B261" s="6"/>
      <c r="C261" s="6"/>
      <c r="D261" s="6"/>
      <c r="E261" s="6"/>
      <c r="F261" s="6"/>
      <c r="G261" s="6"/>
      <c r="H261" s="6"/>
      <c r="I261" s="7"/>
      <c r="J261" s="8"/>
      <c r="K261" s="6"/>
      <c r="L261" s="9" t="str">
        <f aca="false">IF(OR(E261="",H261=""),"",E261*H261)</f>
        <v/>
      </c>
      <c r="M261" s="10" t="str">
        <f aca="false">IF(OR(J261="",H261="",H261=0),"",J261/H261)</f>
        <v/>
      </c>
      <c r="N261" s="10" t="str">
        <f aca="false">IF(OR(J261="",I261="",I261=0),"",J261/I261)</f>
        <v/>
      </c>
      <c r="O261" s="10" t="str">
        <f aca="false">IF(OR(J261="",L261="",L261=0),"",J261/L261)</f>
        <v/>
      </c>
      <c r="P261" s="6"/>
    </row>
    <row r="262" customFormat="false" ht="15" hidden="false" customHeight="false" outlineLevel="0" collapsed="false">
      <c r="A262" s="5"/>
      <c r="B262" s="6"/>
      <c r="C262" s="6"/>
      <c r="D262" s="6"/>
      <c r="E262" s="6"/>
      <c r="F262" s="6"/>
      <c r="G262" s="6"/>
      <c r="H262" s="6"/>
      <c r="I262" s="7"/>
      <c r="J262" s="8"/>
      <c r="K262" s="6"/>
      <c r="L262" s="9" t="str">
        <f aca="false">IF(OR(E262="",H262=""),"",E262*H262)</f>
        <v/>
      </c>
      <c r="M262" s="10" t="str">
        <f aca="false">IF(OR(J262="",H262="",H262=0),"",J262/H262)</f>
        <v/>
      </c>
      <c r="N262" s="10" t="str">
        <f aca="false">IF(OR(J262="",I262="",I262=0),"",J262/I262)</f>
        <v/>
      </c>
      <c r="O262" s="10" t="str">
        <f aca="false">IF(OR(J262="",L262="",L262=0),"",J262/L262)</f>
        <v/>
      </c>
      <c r="P262" s="6"/>
    </row>
    <row r="263" customFormat="false" ht="15" hidden="false" customHeight="false" outlineLevel="0" collapsed="false">
      <c r="A263" s="5"/>
      <c r="B263" s="6"/>
      <c r="C263" s="6"/>
      <c r="D263" s="6"/>
      <c r="E263" s="6"/>
      <c r="F263" s="6"/>
      <c r="G263" s="6"/>
      <c r="H263" s="6"/>
      <c r="I263" s="7"/>
      <c r="J263" s="8"/>
      <c r="K263" s="6"/>
      <c r="L263" s="9" t="str">
        <f aca="false">IF(OR(E263="",H263=""),"",E263*H263)</f>
        <v/>
      </c>
      <c r="M263" s="10" t="str">
        <f aca="false">IF(OR(J263="",H263="",H263=0),"",J263/H263)</f>
        <v/>
      </c>
      <c r="N263" s="10" t="str">
        <f aca="false">IF(OR(J263="",I263="",I263=0),"",J263/I263)</f>
        <v/>
      </c>
      <c r="O263" s="10" t="str">
        <f aca="false">IF(OR(J263="",L263="",L263=0),"",J263/L263)</f>
        <v/>
      </c>
      <c r="P263" s="6"/>
    </row>
    <row r="264" customFormat="false" ht="15" hidden="false" customHeight="false" outlineLevel="0" collapsed="false">
      <c r="A264" s="5"/>
      <c r="B264" s="6"/>
      <c r="C264" s="6"/>
      <c r="D264" s="6"/>
      <c r="E264" s="6"/>
      <c r="F264" s="6"/>
      <c r="G264" s="6"/>
      <c r="H264" s="6"/>
      <c r="I264" s="7"/>
      <c r="J264" s="8"/>
      <c r="K264" s="6"/>
      <c r="L264" s="9" t="str">
        <f aca="false">IF(OR(E264="",H264=""),"",E264*H264)</f>
        <v/>
      </c>
      <c r="M264" s="10" t="str">
        <f aca="false">IF(OR(J264="",H264="",H264=0),"",J264/H264)</f>
        <v/>
      </c>
      <c r="N264" s="10" t="str">
        <f aca="false">IF(OR(J264="",I264="",I264=0),"",J264/I264)</f>
        <v/>
      </c>
      <c r="O264" s="10" t="str">
        <f aca="false">IF(OR(J264="",L264="",L264=0),"",J264/L264)</f>
        <v/>
      </c>
      <c r="P264" s="6"/>
    </row>
    <row r="265" customFormat="false" ht="15" hidden="false" customHeight="false" outlineLevel="0" collapsed="false">
      <c r="A265" s="5"/>
      <c r="B265" s="6"/>
      <c r="C265" s="6"/>
      <c r="D265" s="6"/>
      <c r="E265" s="6"/>
      <c r="F265" s="6"/>
      <c r="G265" s="6"/>
      <c r="H265" s="6"/>
      <c r="I265" s="7"/>
      <c r="J265" s="8"/>
      <c r="K265" s="6"/>
      <c r="L265" s="9" t="str">
        <f aca="false">IF(OR(E265="",H265=""),"",E265*H265)</f>
        <v/>
      </c>
      <c r="M265" s="10" t="str">
        <f aca="false">IF(OR(J265="",H265="",H265=0),"",J265/H265)</f>
        <v/>
      </c>
      <c r="N265" s="10" t="str">
        <f aca="false">IF(OR(J265="",I265="",I265=0),"",J265/I265)</f>
        <v/>
      </c>
      <c r="O265" s="10" t="str">
        <f aca="false">IF(OR(J265="",L265="",L265=0),"",J265/L265)</f>
        <v/>
      </c>
      <c r="P265" s="6"/>
    </row>
    <row r="266" customFormat="false" ht="15" hidden="false" customHeight="false" outlineLevel="0" collapsed="false">
      <c r="A266" s="5"/>
      <c r="B266" s="6"/>
      <c r="C266" s="6"/>
      <c r="D266" s="6"/>
      <c r="E266" s="6"/>
      <c r="F266" s="6"/>
      <c r="G266" s="6"/>
      <c r="H266" s="6"/>
      <c r="I266" s="7"/>
      <c r="J266" s="8"/>
      <c r="K266" s="6"/>
      <c r="L266" s="9" t="str">
        <f aca="false">IF(OR(E266="",H266=""),"",E266*H266)</f>
        <v/>
      </c>
      <c r="M266" s="10" t="str">
        <f aca="false">IF(OR(J266="",H266="",H266=0),"",J266/H266)</f>
        <v/>
      </c>
      <c r="N266" s="10" t="str">
        <f aca="false">IF(OR(J266="",I266="",I266=0),"",J266/I266)</f>
        <v/>
      </c>
      <c r="O266" s="10" t="str">
        <f aca="false">IF(OR(J266="",L266="",L266=0),"",J266/L266)</f>
        <v/>
      </c>
      <c r="P266" s="6"/>
    </row>
    <row r="267" customFormat="false" ht="15" hidden="false" customHeight="false" outlineLevel="0" collapsed="false">
      <c r="A267" s="5"/>
      <c r="B267" s="6"/>
      <c r="C267" s="6"/>
      <c r="D267" s="6"/>
      <c r="E267" s="6"/>
      <c r="F267" s="6"/>
      <c r="G267" s="6"/>
      <c r="H267" s="6"/>
      <c r="I267" s="7"/>
      <c r="J267" s="8"/>
      <c r="K267" s="6"/>
      <c r="L267" s="9" t="str">
        <f aca="false">IF(OR(E267="",H267=""),"",E267*H267)</f>
        <v/>
      </c>
      <c r="M267" s="10" t="str">
        <f aca="false">IF(OR(J267="",H267="",H267=0),"",J267/H267)</f>
        <v/>
      </c>
      <c r="N267" s="10" t="str">
        <f aca="false">IF(OR(J267="",I267="",I267=0),"",J267/I267)</f>
        <v/>
      </c>
      <c r="O267" s="10" t="str">
        <f aca="false">IF(OR(J267="",L267="",L267=0),"",J267/L267)</f>
        <v/>
      </c>
      <c r="P267" s="6"/>
    </row>
    <row r="268" customFormat="false" ht="15" hidden="false" customHeight="false" outlineLevel="0" collapsed="false">
      <c r="A268" s="5"/>
      <c r="B268" s="6"/>
      <c r="C268" s="6"/>
      <c r="D268" s="6"/>
      <c r="E268" s="6"/>
      <c r="F268" s="6"/>
      <c r="G268" s="6"/>
      <c r="H268" s="6"/>
      <c r="I268" s="7"/>
      <c r="J268" s="8"/>
      <c r="K268" s="6"/>
      <c r="L268" s="9" t="str">
        <f aca="false">IF(OR(E268="",H268=""),"",E268*H268)</f>
        <v/>
      </c>
      <c r="M268" s="10" t="str">
        <f aca="false">IF(OR(J268="",H268="",H268=0),"",J268/H268)</f>
        <v/>
      </c>
      <c r="N268" s="10" t="str">
        <f aca="false">IF(OR(J268="",I268="",I268=0),"",J268/I268)</f>
        <v/>
      </c>
      <c r="O268" s="10" t="str">
        <f aca="false">IF(OR(J268="",L268="",L268=0),"",J268/L268)</f>
        <v/>
      </c>
      <c r="P268" s="6"/>
    </row>
    <row r="269" customFormat="false" ht="15" hidden="false" customHeight="false" outlineLevel="0" collapsed="false">
      <c r="A269" s="5"/>
      <c r="B269" s="6"/>
      <c r="C269" s="6"/>
      <c r="D269" s="6"/>
      <c r="E269" s="6"/>
      <c r="F269" s="6"/>
      <c r="G269" s="6"/>
      <c r="H269" s="6"/>
      <c r="I269" s="7"/>
      <c r="J269" s="8"/>
      <c r="K269" s="6"/>
      <c r="L269" s="9" t="str">
        <f aca="false">IF(OR(E269="",H269=""),"",E269*H269)</f>
        <v/>
      </c>
      <c r="M269" s="10" t="str">
        <f aca="false">IF(OR(J269="",H269="",H269=0),"",J269/H269)</f>
        <v/>
      </c>
      <c r="N269" s="10" t="str">
        <f aca="false">IF(OR(J269="",I269="",I269=0),"",J269/I269)</f>
        <v/>
      </c>
      <c r="O269" s="10" t="str">
        <f aca="false">IF(OR(J269="",L269="",L269=0),"",J269/L269)</f>
        <v/>
      </c>
      <c r="P269" s="6"/>
    </row>
    <row r="270" customFormat="false" ht="15" hidden="false" customHeight="false" outlineLevel="0" collapsed="false">
      <c r="A270" s="5"/>
      <c r="B270" s="6"/>
      <c r="C270" s="6"/>
      <c r="D270" s="6"/>
      <c r="E270" s="6"/>
      <c r="F270" s="6"/>
      <c r="G270" s="6"/>
      <c r="H270" s="6"/>
      <c r="I270" s="7"/>
      <c r="J270" s="8"/>
      <c r="K270" s="6"/>
      <c r="L270" s="9" t="str">
        <f aca="false">IF(OR(E270="",H270=""),"",E270*H270)</f>
        <v/>
      </c>
      <c r="M270" s="10" t="str">
        <f aca="false">IF(OR(J270="",H270="",H270=0),"",J270/H270)</f>
        <v/>
      </c>
      <c r="N270" s="10" t="str">
        <f aca="false">IF(OR(J270="",I270="",I270=0),"",J270/I270)</f>
        <v/>
      </c>
      <c r="O270" s="10" t="str">
        <f aca="false">IF(OR(J270="",L270="",L270=0),"",J270/L270)</f>
        <v/>
      </c>
      <c r="P270" s="6"/>
    </row>
    <row r="271" customFormat="false" ht="15" hidden="false" customHeight="false" outlineLevel="0" collapsed="false">
      <c r="A271" s="5"/>
      <c r="B271" s="6"/>
      <c r="C271" s="6"/>
      <c r="D271" s="6"/>
      <c r="E271" s="6"/>
      <c r="F271" s="6"/>
      <c r="G271" s="6"/>
      <c r="H271" s="6"/>
      <c r="I271" s="7"/>
      <c r="J271" s="8"/>
      <c r="K271" s="6"/>
      <c r="L271" s="9" t="str">
        <f aca="false">IF(OR(E271="",H271=""),"",E271*H271)</f>
        <v/>
      </c>
      <c r="M271" s="10" t="str">
        <f aca="false">IF(OR(J271="",H271="",H271=0),"",J271/H271)</f>
        <v/>
      </c>
      <c r="N271" s="10" t="str">
        <f aca="false">IF(OR(J271="",I271="",I271=0),"",J271/I271)</f>
        <v/>
      </c>
      <c r="O271" s="10" t="str">
        <f aca="false">IF(OR(J271="",L271="",L271=0),"",J271/L271)</f>
        <v/>
      </c>
      <c r="P271" s="6"/>
    </row>
    <row r="272" customFormat="false" ht="15" hidden="false" customHeight="false" outlineLevel="0" collapsed="false">
      <c r="A272" s="5"/>
      <c r="B272" s="6"/>
      <c r="C272" s="6"/>
      <c r="D272" s="6"/>
      <c r="E272" s="6"/>
      <c r="F272" s="6"/>
      <c r="G272" s="6"/>
      <c r="H272" s="6"/>
      <c r="I272" s="7"/>
      <c r="J272" s="8"/>
      <c r="K272" s="6"/>
      <c r="L272" s="9" t="str">
        <f aca="false">IF(OR(E272="",H272=""),"",E272*H272)</f>
        <v/>
      </c>
      <c r="M272" s="10" t="str">
        <f aca="false">IF(OR(J272="",H272="",H272=0),"",J272/H272)</f>
        <v/>
      </c>
      <c r="N272" s="10" t="str">
        <f aca="false">IF(OR(J272="",I272="",I272=0),"",J272/I272)</f>
        <v/>
      </c>
      <c r="O272" s="10" t="str">
        <f aca="false">IF(OR(J272="",L272="",L272=0),"",J272/L272)</f>
        <v/>
      </c>
      <c r="P272" s="6"/>
    </row>
    <row r="273" customFormat="false" ht="15" hidden="false" customHeight="false" outlineLevel="0" collapsed="false">
      <c r="A273" s="5"/>
      <c r="B273" s="6"/>
      <c r="C273" s="6"/>
      <c r="D273" s="6"/>
      <c r="E273" s="6"/>
      <c r="F273" s="6"/>
      <c r="G273" s="6"/>
      <c r="H273" s="6"/>
      <c r="I273" s="7"/>
      <c r="J273" s="8"/>
      <c r="K273" s="6"/>
      <c r="L273" s="9" t="str">
        <f aca="false">IF(OR(E273="",H273=""),"",E273*H273)</f>
        <v/>
      </c>
      <c r="M273" s="10" t="str">
        <f aca="false">IF(OR(J273="",H273="",H273=0),"",J273/H273)</f>
        <v/>
      </c>
      <c r="N273" s="10" t="str">
        <f aca="false">IF(OR(J273="",I273="",I273=0),"",J273/I273)</f>
        <v/>
      </c>
      <c r="O273" s="10" t="str">
        <f aca="false">IF(OR(J273="",L273="",L273=0),"",J273/L273)</f>
        <v/>
      </c>
      <c r="P273" s="6"/>
    </row>
    <row r="274" customFormat="false" ht="15" hidden="false" customHeight="false" outlineLevel="0" collapsed="false">
      <c r="A274" s="5"/>
      <c r="B274" s="6"/>
      <c r="C274" s="6"/>
      <c r="D274" s="6"/>
      <c r="E274" s="6"/>
      <c r="F274" s="6"/>
      <c r="G274" s="6"/>
      <c r="H274" s="6"/>
      <c r="I274" s="7"/>
      <c r="J274" s="8"/>
      <c r="K274" s="6"/>
      <c r="L274" s="9" t="str">
        <f aca="false">IF(OR(E274="",H274=""),"",E274*H274)</f>
        <v/>
      </c>
      <c r="M274" s="10" t="str">
        <f aca="false">IF(OR(J274="",H274="",H274=0),"",J274/H274)</f>
        <v/>
      </c>
      <c r="N274" s="10" t="str">
        <f aca="false">IF(OR(J274="",I274="",I274=0),"",J274/I274)</f>
        <v/>
      </c>
      <c r="O274" s="10" t="str">
        <f aca="false">IF(OR(J274="",L274="",L274=0),"",J274/L274)</f>
        <v/>
      </c>
      <c r="P274" s="6"/>
    </row>
    <row r="275" customFormat="false" ht="15" hidden="false" customHeight="false" outlineLevel="0" collapsed="false">
      <c r="A275" s="5"/>
      <c r="B275" s="6"/>
      <c r="C275" s="6"/>
      <c r="D275" s="6"/>
      <c r="E275" s="6"/>
      <c r="F275" s="6"/>
      <c r="G275" s="6"/>
      <c r="H275" s="6"/>
      <c r="I275" s="7"/>
      <c r="J275" s="8"/>
      <c r="K275" s="6"/>
      <c r="L275" s="9" t="str">
        <f aca="false">IF(OR(E275="",H275=""),"",E275*H275)</f>
        <v/>
      </c>
      <c r="M275" s="10" t="str">
        <f aca="false">IF(OR(J275="",H275="",H275=0),"",J275/H275)</f>
        <v/>
      </c>
      <c r="N275" s="10" t="str">
        <f aca="false">IF(OR(J275="",I275="",I275=0),"",J275/I275)</f>
        <v/>
      </c>
      <c r="O275" s="10" t="str">
        <f aca="false">IF(OR(J275="",L275="",L275=0),"",J275/L275)</f>
        <v/>
      </c>
      <c r="P275" s="6"/>
    </row>
    <row r="276" customFormat="false" ht="15" hidden="false" customHeight="false" outlineLevel="0" collapsed="false">
      <c r="A276" s="5"/>
      <c r="B276" s="6"/>
      <c r="C276" s="6"/>
      <c r="D276" s="6"/>
      <c r="E276" s="6"/>
      <c r="F276" s="6"/>
      <c r="G276" s="6"/>
      <c r="H276" s="6"/>
      <c r="I276" s="7"/>
      <c r="J276" s="8"/>
      <c r="K276" s="6"/>
      <c r="L276" s="9" t="str">
        <f aca="false">IF(OR(E276="",H276=""),"",E276*H276)</f>
        <v/>
      </c>
      <c r="M276" s="10" t="str">
        <f aca="false">IF(OR(J276="",H276="",H276=0),"",J276/H276)</f>
        <v/>
      </c>
      <c r="N276" s="10" t="str">
        <f aca="false">IF(OR(J276="",I276="",I276=0),"",J276/I276)</f>
        <v/>
      </c>
      <c r="O276" s="10" t="str">
        <f aca="false">IF(OR(J276="",L276="",L276=0),"",J276/L276)</f>
        <v/>
      </c>
      <c r="P276" s="6"/>
    </row>
    <row r="277" customFormat="false" ht="15" hidden="false" customHeight="false" outlineLevel="0" collapsed="false">
      <c r="A277" s="5"/>
      <c r="B277" s="6"/>
      <c r="C277" s="6"/>
      <c r="D277" s="6"/>
      <c r="E277" s="6"/>
      <c r="F277" s="6"/>
      <c r="G277" s="6"/>
      <c r="H277" s="6"/>
      <c r="I277" s="7"/>
      <c r="J277" s="8"/>
      <c r="K277" s="6"/>
      <c r="L277" s="9" t="str">
        <f aca="false">IF(OR(E277="",H277=""),"",E277*H277)</f>
        <v/>
      </c>
      <c r="M277" s="10" t="str">
        <f aca="false">IF(OR(J277="",H277="",H277=0),"",J277/H277)</f>
        <v/>
      </c>
      <c r="N277" s="10" t="str">
        <f aca="false">IF(OR(J277="",I277="",I277=0),"",J277/I277)</f>
        <v/>
      </c>
      <c r="O277" s="10" t="str">
        <f aca="false">IF(OR(J277="",L277="",L277=0),"",J277/L277)</f>
        <v/>
      </c>
      <c r="P277" s="6"/>
    </row>
    <row r="278" customFormat="false" ht="15" hidden="false" customHeight="false" outlineLevel="0" collapsed="false">
      <c r="A278" s="5"/>
      <c r="B278" s="6"/>
      <c r="C278" s="6"/>
      <c r="D278" s="6"/>
      <c r="E278" s="6"/>
      <c r="F278" s="6"/>
      <c r="G278" s="6"/>
      <c r="H278" s="6"/>
      <c r="I278" s="7"/>
      <c r="J278" s="8"/>
      <c r="K278" s="6"/>
      <c r="L278" s="9" t="str">
        <f aca="false">IF(OR(E278="",H278=""),"",E278*H278)</f>
        <v/>
      </c>
      <c r="M278" s="10" t="str">
        <f aca="false">IF(OR(J278="",H278="",H278=0),"",J278/H278)</f>
        <v/>
      </c>
      <c r="N278" s="10" t="str">
        <f aca="false">IF(OR(J278="",I278="",I278=0),"",J278/I278)</f>
        <v/>
      </c>
      <c r="O278" s="10" t="str">
        <f aca="false">IF(OR(J278="",L278="",L278=0),"",J278/L278)</f>
        <v/>
      </c>
      <c r="P278" s="6"/>
    </row>
    <row r="279" customFormat="false" ht="15" hidden="false" customHeight="false" outlineLevel="0" collapsed="false">
      <c r="A279" s="5"/>
      <c r="B279" s="6"/>
      <c r="C279" s="6"/>
      <c r="D279" s="6"/>
      <c r="E279" s="6"/>
      <c r="F279" s="6"/>
      <c r="G279" s="6"/>
      <c r="H279" s="6"/>
      <c r="I279" s="7"/>
      <c r="J279" s="8"/>
      <c r="K279" s="6"/>
      <c r="L279" s="9" t="str">
        <f aca="false">IF(OR(E279="",H279=""),"",E279*H279)</f>
        <v/>
      </c>
      <c r="M279" s="10" t="str">
        <f aca="false">IF(OR(J279="",H279="",H279=0),"",J279/H279)</f>
        <v/>
      </c>
      <c r="N279" s="10" t="str">
        <f aca="false">IF(OR(J279="",I279="",I279=0),"",J279/I279)</f>
        <v/>
      </c>
      <c r="O279" s="10" t="str">
        <f aca="false">IF(OR(J279="",L279="",L279=0),"",J279/L279)</f>
        <v/>
      </c>
      <c r="P279" s="6"/>
    </row>
    <row r="280" customFormat="false" ht="15" hidden="false" customHeight="false" outlineLevel="0" collapsed="false">
      <c r="A280" s="5"/>
      <c r="B280" s="6"/>
      <c r="C280" s="6"/>
      <c r="D280" s="6"/>
      <c r="E280" s="6"/>
      <c r="F280" s="6"/>
      <c r="G280" s="6"/>
      <c r="H280" s="6"/>
      <c r="I280" s="7"/>
      <c r="J280" s="8"/>
      <c r="K280" s="6"/>
      <c r="L280" s="9" t="str">
        <f aca="false">IF(OR(E280="",H280=""),"",E280*H280)</f>
        <v/>
      </c>
      <c r="M280" s="10" t="str">
        <f aca="false">IF(OR(J280="",H280="",H280=0),"",J280/H280)</f>
        <v/>
      </c>
      <c r="N280" s="10" t="str">
        <f aca="false">IF(OR(J280="",I280="",I280=0),"",J280/I280)</f>
        <v/>
      </c>
      <c r="O280" s="10" t="str">
        <f aca="false">IF(OR(J280="",L280="",L280=0),"",J280/L280)</f>
        <v/>
      </c>
      <c r="P280" s="6"/>
    </row>
    <row r="281" customFormat="false" ht="15" hidden="false" customHeight="false" outlineLevel="0" collapsed="false">
      <c r="A281" s="5"/>
      <c r="B281" s="6"/>
      <c r="C281" s="6"/>
      <c r="D281" s="6"/>
      <c r="E281" s="6"/>
      <c r="F281" s="6"/>
      <c r="G281" s="6"/>
      <c r="H281" s="6"/>
      <c r="I281" s="7"/>
      <c r="J281" s="8"/>
      <c r="K281" s="6"/>
      <c r="L281" s="9" t="str">
        <f aca="false">IF(OR(E281="",H281=""),"",E281*H281)</f>
        <v/>
      </c>
      <c r="M281" s="10" t="str">
        <f aca="false">IF(OR(J281="",H281="",H281=0),"",J281/H281)</f>
        <v/>
      </c>
      <c r="N281" s="10" t="str">
        <f aca="false">IF(OR(J281="",I281="",I281=0),"",J281/I281)</f>
        <v/>
      </c>
      <c r="O281" s="10" t="str">
        <f aca="false">IF(OR(J281="",L281="",L281=0),"",J281/L281)</f>
        <v/>
      </c>
      <c r="P281" s="6"/>
    </row>
    <row r="282" customFormat="false" ht="15" hidden="false" customHeight="false" outlineLevel="0" collapsed="false">
      <c r="A282" s="5"/>
      <c r="B282" s="6"/>
      <c r="C282" s="6"/>
      <c r="D282" s="6"/>
      <c r="E282" s="6"/>
      <c r="F282" s="6"/>
      <c r="G282" s="6"/>
      <c r="H282" s="6"/>
      <c r="I282" s="7"/>
      <c r="J282" s="8"/>
      <c r="K282" s="6"/>
      <c r="L282" s="9" t="str">
        <f aca="false">IF(OR(E282="",H282=""),"",E282*H282)</f>
        <v/>
      </c>
      <c r="M282" s="10" t="str">
        <f aca="false">IF(OR(J282="",H282="",H282=0),"",J282/H282)</f>
        <v/>
      </c>
      <c r="N282" s="10" t="str">
        <f aca="false">IF(OR(J282="",I282="",I282=0),"",J282/I282)</f>
        <v/>
      </c>
      <c r="O282" s="10" t="str">
        <f aca="false">IF(OR(J282="",L282="",L282=0),"",J282/L282)</f>
        <v/>
      </c>
      <c r="P282" s="6"/>
    </row>
    <row r="283" customFormat="false" ht="15" hidden="false" customHeight="false" outlineLevel="0" collapsed="false">
      <c r="A283" s="5"/>
      <c r="B283" s="6"/>
      <c r="C283" s="6"/>
      <c r="D283" s="6"/>
      <c r="E283" s="6"/>
      <c r="F283" s="6"/>
      <c r="G283" s="6"/>
      <c r="H283" s="6"/>
      <c r="I283" s="7"/>
      <c r="J283" s="8"/>
      <c r="K283" s="6"/>
      <c r="L283" s="9" t="str">
        <f aca="false">IF(OR(E283="",H283=""),"",E283*H283)</f>
        <v/>
      </c>
      <c r="M283" s="10" t="str">
        <f aca="false">IF(OR(J283="",H283="",H283=0),"",J283/H283)</f>
        <v/>
      </c>
      <c r="N283" s="10" t="str">
        <f aca="false">IF(OR(J283="",I283="",I283=0),"",J283/I283)</f>
        <v/>
      </c>
      <c r="O283" s="10" t="str">
        <f aca="false">IF(OR(J283="",L283="",L283=0),"",J283/L283)</f>
        <v/>
      </c>
      <c r="P283" s="6"/>
    </row>
    <row r="284" customFormat="false" ht="15" hidden="false" customHeight="false" outlineLevel="0" collapsed="false">
      <c r="A284" s="5"/>
      <c r="B284" s="6"/>
      <c r="C284" s="6"/>
      <c r="D284" s="6"/>
      <c r="E284" s="6"/>
      <c r="F284" s="6"/>
      <c r="G284" s="6"/>
      <c r="H284" s="6"/>
      <c r="I284" s="7"/>
      <c r="J284" s="8"/>
      <c r="K284" s="6"/>
      <c r="L284" s="9" t="str">
        <f aca="false">IF(OR(E284="",H284=""),"",E284*H284)</f>
        <v/>
      </c>
      <c r="M284" s="10" t="str">
        <f aca="false">IF(OR(J284="",H284="",H284=0),"",J284/H284)</f>
        <v/>
      </c>
      <c r="N284" s="10" t="str">
        <f aca="false">IF(OR(J284="",I284="",I284=0),"",J284/I284)</f>
        <v/>
      </c>
      <c r="O284" s="10" t="str">
        <f aca="false">IF(OR(J284="",L284="",L284=0),"",J284/L284)</f>
        <v/>
      </c>
      <c r="P284" s="6"/>
    </row>
    <row r="285" customFormat="false" ht="15" hidden="false" customHeight="false" outlineLevel="0" collapsed="false">
      <c r="A285" s="5"/>
      <c r="B285" s="6"/>
      <c r="C285" s="6"/>
      <c r="D285" s="6"/>
      <c r="E285" s="6"/>
      <c r="F285" s="6"/>
      <c r="G285" s="6"/>
      <c r="H285" s="6"/>
      <c r="I285" s="7"/>
      <c r="J285" s="8"/>
      <c r="K285" s="6"/>
      <c r="L285" s="9" t="str">
        <f aca="false">IF(OR(E285="",H285=""),"",E285*H285)</f>
        <v/>
      </c>
      <c r="M285" s="10" t="str">
        <f aca="false">IF(OR(J285="",H285="",H285=0),"",J285/H285)</f>
        <v/>
      </c>
      <c r="N285" s="10" t="str">
        <f aca="false">IF(OR(J285="",I285="",I285=0),"",J285/I285)</f>
        <v/>
      </c>
      <c r="O285" s="10" t="str">
        <f aca="false">IF(OR(J285="",L285="",L285=0),"",J285/L285)</f>
        <v/>
      </c>
      <c r="P285" s="6"/>
    </row>
    <row r="286" customFormat="false" ht="15" hidden="false" customHeight="false" outlineLevel="0" collapsed="false">
      <c r="A286" s="5"/>
      <c r="B286" s="6"/>
      <c r="C286" s="6"/>
      <c r="D286" s="6"/>
      <c r="E286" s="6"/>
      <c r="F286" s="6"/>
      <c r="G286" s="6"/>
      <c r="H286" s="6"/>
      <c r="I286" s="7"/>
      <c r="J286" s="8"/>
      <c r="K286" s="6"/>
      <c r="L286" s="9" t="str">
        <f aca="false">IF(OR(E286="",H286=""),"",E286*H286)</f>
        <v/>
      </c>
      <c r="M286" s="10" t="str">
        <f aca="false">IF(OR(J286="",H286="",H286=0),"",J286/H286)</f>
        <v/>
      </c>
      <c r="N286" s="10" t="str">
        <f aca="false">IF(OR(J286="",I286="",I286=0),"",J286/I286)</f>
        <v/>
      </c>
      <c r="O286" s="10" t="str">
        <f aca="false">IF(OR(J286="",L286="",L286=0),"",J286/L286)</f>
        <v/>
      </c>
      <c r="P286" s="6"/>
    </row>
    <row r="287" customFormat="false" ht="15" hidden="false" customHeight="false" outlineLevel="0" collapsed="false">
      <c r="A287" s="5"/>
      <c r="B287" s="6"/>
      <c r="C287" s="6"/>
      <c r="D287" s="6"/>
      <c r="E287" s="6"/>
      <c r="F287" s="6"/>
      <c r="G287" s="6"/>
      <c r="H287" s="6"/>
      <c r="I287" s="7"/>
      <c r="J287" s="8"/>
      <c r="K287" s="6"/>
      <c r="L287" s="9" t="str">
        <f aca="false">IF(OR(E287="",H287=""),"",E287*H287)</f>
        <v/>
      </c>
      <c r="M287" s="10" t="str">
        <f aca="false">IF(OR(J287="",H287="",H287=0),"",J287/H287)</f>
        <v/>
      </c>
      <c r="N287" s="10" t="str">
        <f aca="false">IF(OR(J287="",I287="",I287=0),"",J287/I287)</f>
        <v/>
      </c>
      <c r="O287" s="10" t="str">
        <f aca="false">IF(OR(J287="",L287="",L287=0),"",J287/L287)</f>
        <v/>
      </c>
      <c r="P287" s="6"/>
    </row>
    <row r="288" customFormat="false" ht="15" hidden="false" customHeight="false" outlineLevel="0" collapsed="false">
      <c r="A288" s="5"/>
      <c r="B288" s="6"/>
      <c r="C288" s="6"/>
      <c r="D288" s="6"/>
      <c r="E288" s="6"/>
      <c r="F288" s="6"/>
      <c r="G288" s="6"/>
      <c r="H288" s="6"/>
      <c r="I288" s="7"/>
      <c r="J288" s="8"/>
      <c r="K288" s="6"/>
      <c r="L288" s="9" t="str">
        <f aca="false">IF(OR(E288="",H288=""),"",E288*H288)</f>
        <v/>
      </c>
      <c r="M288" s="10" t="str">
        <f aca="false">IF(OR(J288="",H288="",H288=0),"",J288/H288)</f>
        <v/>
      </c>
      <c r="N288" s="10" t="str">
        <f aca="false">IF(OR(J288="",I288="",I288=0),"",J288/I288)</f>
        <v/>
      </c>
      <c r="O288" s="10" t="str">
        <f aca="false">IF(OR(J288="",L288="",L288=0),"",J288/L288)</f>
        <v/>
      </c>
      <c r="P288" s="6"/>
    </row>
    <row r="289" customFormat="false" ht="15" hidden="false" customHeight="false" outlineLevel="0" collapsed="false">
      <c r="A289" s="5"/>
      <c r="B289" s="6"/>
      <c r="C289" s="6"/>
      <c r="D289" s="6"/>
      <c r="E289" s="6"/>
      <c r="F289" s="6"/>
      <c r="G289" s="6"/>
      <c r="H289" s="6"/>
      <c r="I289" s="7"/>
      <c r="J289" s="8"/>
      <c r="K289" s="6"/>
      <c r="L289" s="9" t="str">
        <f aca="false">IF(OR(E289="",H289=""),"",E289*H289)</f>
        <v/>
      </c>
      <c r="M289" s="10" t="str">
        <f aca="false">IF(OR(J289="",H289="",H289=0),"",J289/H289)</f>
        <v/>
      </c>
      <c r="N289" s="10" t="str">
        <f aca="false">IF(OR(J289="",I289="",I289=0),"",J289/I289)</f>
        <v/>
      </c>
      <c r="O289" s="10" t="str">
        <f aca="false">IF(OR(J289="",L289="",L289=0),"",J289/L289)</f>
        <v/>
      </c>
      <c r="P289" s="6"/>
    </row>
    <row r="290" customFormat="false" ht="15" hidden="false" customHeight="false" outlineLevel="0" collapsed="false">
      <c r="A290" s="5"/>
      <c r="B290" s="6"/>
      <c r="C290" s="6"/>
      <c r="D290" s="6"/>
      <c r="E290" s="6"/>
      <c r="F290" s="6"/>
      <c r="G290" s="6"/>
      <c r="H290" s="6"/>
      <c r="I290" s="7"/>
      <c r="J290" s="8"/>
      <c r="K290" s="6"/>
      <c r="L290" s="9" t="str">
        <f aca="false">IF(OR(E290="",H290=""),"",E290*H290)</f>
        <v/>
      </c>
      <c r="M290" s="10" t="str">
        <f aca="false">IF(OR(J290="",H290="",H290=0),"",J290/H290)</f>
        <v/>
      </c>
      <c r="N290" s="10" t="str">
        <f aca="false">IF(OR(J290="",I290="",I290=0),"",J290/I290)</f>
        <v/>
      </c>
      <c r="O290" s="10" t="str">
        <f aca="false">IF(OR(J290="",L290="",L290=0),"",J290/L290)</f>
        <v/>
      </c>
      <c r="P290" s="6"/>
    </row>
    <row r="291" customFormat="false" ht="15" hidden="false" customHeight="false" outlineLevel="0" collapsed="false">
      <c r="A291" s="5"/>
      <c r="B291" s="6"/>
      <c r="C291" s="6"/>
      <c r="D291" s="6"/>
      <c r="E291" s="6"/>
      <c r="F291" s="6"/>
      <c r="G291" s="6"/>
      <c r="H291" s="6"/>
      <c r="I291" s="7"/>
      <c r="J291" s="8"/>
      <c r="K291" s="6"/>
      <c r="L291" s="9" t="str">
        <f aca="false">IF(OR(E291="",H291=""),"",E291*H291)</f>
        <v/>
      </c>
      <c r="M291" s="10" t="str">
        <f aca="false">IF(OR(J291="",H291="",H291=0),"",J291/H291)</f>
        <v/>
      </c>
      <c r="N291" s="10" t="str">
        <f aca="false">IF(OR(J291="",I291="",I291=0),"",J291/I291)</f>
        <v/>
      </c>
      <c r="O291" s="10" t="str">
        <f aca="false">IF(OR(J291="",L291="",L291=0),"",J291/L291)</f>
        <v/>
      </c>
      <c r="P291" s="6"/>
    </row>
    <row r="292" customFormat="false" ht="15" hidden="false" customHeight="false" outlineLevel="0" collapsed="false">
      <c r="A292" s="5"/>
      <c r="B292" s="6"/>
      <c r="C292" s="6"/>
      <c r="D292" s="6"/>
      <c r="E292" s="6"/>
      <c r="F292" s="6"/>
      <c r="G292" s="6"/>
      <c r="H292" s="6"/>
      <c r="I292" s="7"/>
      <c r="J292" s="8"/>
      <c r="K292" s="6"/>
      <c r="L292" s="9" t="str">
        <f aca="false">IF(OR(E292="",H292=""),"",E292*H292)</f>
        <v/>
      </c>
      <c r="M292" s="10" t="str">
        <f aca="false">IF(OR(J292="",H292="",H292=0),"",J292/H292)</f>
        <v/>
      </c>
      <c r="N292" s="10" t="str">
        <f aca="false">IF(OR(J292="",I292="",I292=0),"",J292/I292)</f>
        <v/>
      </c>
      <c r="O292" s="10" t="str">
        <f aca="false">IF(OR(J292="",L292="",L292=0),"",J292/L292)</f>
        <v/>
      </c>
      <c r="P292" s="6"/>
    </row>
    <row r="293" customFormat="false" ht="15" hidden="false" customHeight="false" outlineLevel="0" collapsed="false">
      <c r="A293" s="5"/>
      <c r="B293" s="6"/>
      <c r="C293" s="6"/>
      <c r="D293" s="6"/>
      <c r="E293" s="6"/>
      <c r="F293" s="6"/>
      <c r="G293" s="6"/>
      <c r="H293" s="6"/>
      <c r="I293" s="7"/>
      <c r="J293" s="8"/>
      <c r="K293" s="6"/>
      <c r="L293" s="9" t="str">
        <f aca="false">IF(OR(E293="",H293=""),"",E293*H293)</f>
        <v/>
      </c>
      <c r="M293" s="10" t="str">
        <f aca="false">IF(OR(J293="",H293="",H293=0),"",J293/H293)</f>
        <v/>
      </c>
      <c r="N293" s="10" t="str">
        <f aca="false">IF(OR(J293="",I293="",I293=0),"",J293/I293)</f>
        <v/>
      </c>
      <c r="O293" s="10" t="str">
        <f aca="false">IF(OR(J293="",L293="",L293=0),"",J293/L293)</f>
        <v/>
      </c>
      <c r="P293" s="6"/>
    </row>
    <row r="294" customFormat="false" ht="15" hidden="false" customHeight="false" outlineLevel="0" collapsed="false">
      <c r="A294" s="5"/>
      <c r="B294" s="6"/>
      <c r="C294" s="6"/>
      <c r="D294" s="6"/>
      <c r="E294" s="6"/>
      <c r="F294" s="6"/>
      <c r="G294" s="6"/>
      <c r="H294" s="6"/>
      <c r="I294" s="7"/>
      <c r="J294" s="8"/>
      <c r="K294" s="6"/>
      <c r="L294" s="9" t="str">
        <f aca="false">IF(OR(E294="",H294=""),"",E294*H294)</f>
        <v/>
      </c>
      <c r="M294" s="10" t="str">
        <f aca="false">IF(OR(J294="",H294="",H294=0),"",J294/H294)</f>
        <v/>
      </c>
      <c r="N294" s="10" t="str">
        <f aca="false">IF(OR(J294="",I294="",I294=0),"",J294/I294)</f>
        <v/>
      </c>
      <c r="O294" s="10" t="str">
        <f aca="false">IF(OR(J294="",L294="",L294=0),"",J294/L294)</f>
        <v/>
      </c>
      <c r="P294" s="6"/>
    </row>
    <row r="295" customFormat="false" ht="15" hidden="false" customHeight="false" outlineLevel="0" collapsed="false">
      <c r="A295" s="5"/>
      <c r="B295" s="6"/>
      <c r="C295" s="6"/>
      <c r="D295" s="6"/>
      <c r="E295" s="6"/>
      <c r="F295" s="6"/>
      <c r="G295" s="6"/>
      <c r="H295" s="6"/>
      <c r="I295" s="7"/>
      <c r="J295" s="8"/>
      <c r="K295" s="6"/>
      <c r="L295" s="9" t="str">
        <f aca="false">IF(OR(E295="",H295=""),"",E295*H295)</f>
        <v/>
      </c>
      <c r="M295" s="10" t="str">
        <f aca="false">IF(OR(J295="",H295="",H295=0),"",J295/H295)</f>
        <v/>
      </c>
      <c r="N295" s="10" t="str">
        <f aca="false">IF(OR(J295="",I295="",I295=0),"",J295/I295)</f>
        <v/>
      </c>
      <c r="O295" s="10" t="str">
        <f aca="false">IF(OR(J295="",L295="",L295=0),"",J295/L295)</f>
        <v/>
      </c>
      <c r="P295" s="6"/>
    </row>
    <row r="296" customFormat="false" ht="15" hidden="false" customHeight="false" outlineLevel="0" collapsed="false">
      <c r="A296" s="5"/>
      <c r="B296" s="6"/>
      <c r="C296" s="6"/>
      <c r="D296" s="6"/>
      <c r="E296" s="6"/>
      <c r="F296" s="6"/>
      <c r="G296" s="6"/>
      <c r="H296" s="6"/>
      <c r="I296" s="7"/>
      <c r="J296" s="8"/>
      <c r="K296" s="6"/>
      <c r="L296" s="9" t="str">
        <f aca="false">IF(OR(E296="",H296=""),"",E296*H296)</f>
        <v/>
      </c>
      <c r="M296" s="10" t="str">
        <f aca="false">IF(OR(J296="",H296="",H296=0),"",J296/H296)</f>
        <v/>
      </c>
      <c r="N296" s="10" t="str">
        <f aca="false">IF(OR(J296="",I296="",I296=0),"",J296/I296)</f>
        <v/>
      </c>
      <c r="O296" s="10" t="str">
        <f aca="false">IF(OR(J296="",L296="",L296=0),"",J296/L296)</f>
        <v/>
      </c>
      <c r="P296" s="6"/>
    </row>
    <row r="297" customFormat="false" ht="15" hidden="false" customHeight="false" outlineLevel="0" collapsed="false">
      <c r="A297" s="5"/>
      <c r="B297" s="6"/>
      <c r="C297" s="6"/>
      <c r="D297" s="6"/>
      <c r="E297" s="6"/>
      <c r="F297" s="6"/>
      <c r="G297" s="6"/>
      <c r="H297" s="6"/>
      <c r="I297" s="7"/>
      <c r="J297" s="8"/>
      <c r="K297" s="6"/>
      <c r="L297" s="9" t="str">
        <f aca="false">IF(OR(E297="",H297=""),"",E297*H297)</f>
        <v/>
      </c>
      <c r="M297" s="10" t="str">
        <f aca="false">IF(OR(J297="",H297="",H297=0),"",J297/H297)</f>
        <v/>
      </c>
      <c r="N297" s="10" t="str">
        <f aca="false">IF(OR(J297="",I297="",I297=0),"",J297/I297)</f>
        <v/>
      </c>
      <c r="O297" s="10" t="str">
        <f aca="false">IF(OR(J297="",L297="",L297=0),"",J297/L297)</f>
        <v/>
      </c>
      <c r="P297" s="6"/>
    </row>
    <row r="298" customFormat="false" ht="15" hidden="false" customHeight="false" outlineLevel="0" collapsed="false">
      <c r="A298" s="5"/>
      <c r="B298" s="6"/>
      <c r="C298" s="6"/>
      <c r="D298" s="6"/>
      <c r="E298" s="6"/>
      <c r="F298" s="6"/>
      <c r="G298" s="6"/>
      <c r="H298" s="6"/>
      <c r="I298" s="7"/>
      <c r="J298" s="8"/>
      <c r="K298" s="6"/>
      <c r="L298" s="9" t="str">
        <f aca="false">IF(OR(E298="",H298=""),"",E298*H298)</f>
        <v/>
      </c>
      <c r="M298" s="10" t="str">
        <f aca="false">IF(OR(J298="",H298="",H298=0),"",J298/H298)</f>
        <v/>
      </c>
      <c r="N298" s="10" t="str">
        <f aca="false">IF(OR(J298="",I298="",I298=0),"",J298/I298)</f>
        <v/>
      </c>
      <c r="O298" s="10" t="str">
        <f aca="false">IF(OR(J298="",L298="",L298=0),"",J298/L298)</f>
        <v/>
      </c>
      <c r="P298" s="6"/>
    </row>
    <row r="299" customFormat="false" ht="15" hidden="false" customHeight="false" outlineLevel="0" collapsed="false">
      <c r="A299" s="5"/>
      <c r="B299" s="6"/>
      <c r="C299" s="6"/>
      <c r="D299" s="6"/>
      <c r="E299" s="6"/>
      <c r="F299" s="6"/>
      <c r="G299" s="6"/>
      <c r="H299" s="6"/>
      <c r="I299" s="7"/>
      <c r="J299" s="8"/>
      <c r="K299" s="6"/>
      <c r="L299" s="9" t="str">
        <f aca="false">IF(OR(E299="",H299=""),"",E299*H299)</f>
        <v/>
      </c>
      <c r="M299" s="10" t="str">
        <f aca="false">IF(OR(J299="",H299="",H299=0),"",J299/H299)</f>
        <v/>
      </c>
      <c r="N299" s="10" t="str">
        <f aca="false">IF(OR(J299="",I299="",I299=0),"",J299/I299)</f>
        <v/>
      </c>
      <c r="O299" s="10" t="str">
        <f aca="false">IF(OR(J299="",L299="",L299=0),"",J299/L299)</f>
        <v/>
      </c>
      <c r="P299" s="6"/>
    </row>
    <row r="300" customFormat="false" ht="15" hidden="false" customHeight="false" outlineLevel="0" collapsed="false">
      <c r="A300" s="5"/>
      <c r="B300" s="6"/>
      <c r="C300" s="6"/>
      <c r="D300" s="6"/>
      <c r="E300" s="6"/>
      <c r="F300" s="6"/>
      <c r="G300" s="6"/>
      <c r="H300" s="6"/>
      <c r="I300" s="7"/>
      <c r="J300" s="8"/>
      <c r="K300" s="6"/>
      <c r="L300" s="9" t="str">
        <f aca="false">IF(OR(E300="",H300=""),"",E300*H300)</f>
        <v/>
      </c>
      <c r="M300" s="10" t="str">
        <f aca="false">IF(OR(J300="",H300="",H300=0),"",J300/H300)</f>
        <v/>
      </c>
      <c r="N300" s="10" t="str">
        <f aca="false">IF(OR(J300="",I300="",I300=0),"",J300/I300)</f>
        <v/>
      </c>
      <c r="O300" s="10" t="str">
        <f aca="false">IF(OR(J300="",L300="",L300=0),"",J300/L300)</f>
        <v/>
      </c>
      <c r="P300" s="6"/>
    </row>
    <row r="301" customFormat="false" ht="15" hidden="false" customHeight="false" outlineLevel="0" collapsed="false">
      <c r="A301" s="5"/>
      <c r="B301" s="6"/>
      <c r="C301" s="6"/>
      <c r="D301" s="6"/>
      <c r="E301" s="6"/>
      <c r="F301" s="6"/>
      <c r="G301" s="6"/>
      <c r="H301" s="6"/>
      <c r="I301" s="7"/>
      <c r="J301" s="8"/>
      <c r="K301" s="6"/>
      <c r="L301" s="9" t="str">
        <f aca="false">IF(OR(E301="",H301=""),"",E301*H301)</f>
        <v/>
      </c>
      <c r="M301" s="10" t="str">
        <f aca="false">IF(OR(J301="",H301="",H301=0),"",J301/H301)</f>
        <v/>
      </c>
      <c r="N301" s="10" t="str">
        <f aca="false">IF(OR(J301="",I301="",I301=0),"",J301/I301)</f>
        <v/>
      </c>
      <c r="O301" s="10" t="str">
        <f aca="false">IF(OR(J301="",L301="",L301=0),"",J301/L301)</f>
        <v/>
      </c>
      <c r="P301" s="6"/>
    </row>
    <row r="302" customFormat="false" ht="15" hidden="false" customHeight="false" outlineLevel="0" collapsed="false">
      <c r="A302" s="5"/>
      <c r="B302" s="6"/>
      <c r="C302" s="6"/>
      <c r="D302" s="6"/>
      <c r="E302" s="6"/>
      <c r="F302" s="6"/>
      <c r="G302" s="6"/>
      <c r="H302" s="6"/>
      <c r="I302" s="7"/>
      <c r="J302" s="8"/>
      <c r="K302" s="6"/>
      <c r="L302" s="9" t="str">
        <f aca="false">IF(OR(E302="",H302=""),"",E302*H302)</f>
        <v/>
      </c>
      <c r="M302" s="10" t="str">
        <f aca="false">IF(OR(J302="",H302="",H302=0),"",J302/H302)</f>
        <v/>
      </c>
      <c r="N302" s="10" t="str">
        <f aca="false">IF(OR(J302="",I302="",I302=0),"",J302/I302)</f>
        <v/>
      </c>
      <c r="O302" s="10" t="str">
        <f aca="false">IF(OR(J302="",L302="",L302=0),"",J302/L302)</f>
        <v/>
      </c>
      <c r="P302" s="6"/>
    </row>
    <row r="303" customFormat="false" ht="15" hidden="false" customHeight="false" outlineLevel="0" collapsed="false">
      <c r="A303" s="5"/>
      <c r="B303" s="6"/>
      <c r="C303" s="6"/>
      <c r="D303" s="6"/>
      <c r="E303" s="6"/>
      <c r="F303" s="6"/>
      <c r="G303" s="6"/>
      <c r="H303" s="6"/>
      <c r="I303" s="7"/>
      <c r="J303" s="8"/>
      <c r="K303" s="6"/>
      <c r="L303" s="9" t="str">
        <f aca="false">IF(OR(E303="",H303=""),"",E303*H303)</f>
        <v/>
      </c>
      <c r="M303" s="10" t="str">
        <f aca="false">IF(OR(J303="",H303="",H303=0),"",J303/H303)</f>
        <v/>
      </c>
      <c r="N303" s="10" t="str">
        <f aca="false">IF(OR(J303="",I303="",I303=0),"",J303/I303)</f>
        <v/>
      </c>
      <c r="O303" s="10" t="str">
        <f aca="false">IF(OR(J303="",L303="",L303=0),"",J303/L303)</f>
        <v/>
      </c>
      <c r="P303" s="6"/>
    </row>
    <row r="304" customFormat="false" ht="15" hidden="false" customHeight="false" outlineLevel="0" collapsed="false">
      <c r="A304" s="5"/>
      <c r="B304" s="6"/>
      <c r="C304" s="6"/>
      <c r="D304" s="6"/>
      <c r="E304" s="6"/>
      <c r="F304" s="6"/>
      <c r="G304" s="6"/>
      <c r="H304" s="6"/>
      <c r="I304" s="7"/>
      <c r="J304" s="8"/>
      <c r="K304" s="6"/>
      <c r="L304" s="9" t="str">
        <f aca="false">IF(OR(E304="",H304=""),"",E304*H304)</f>
        <v/>
      </c>
      <c r="M304" s="10" t="str">
        <f aca="false">IF(OR(J304="",H304="",H304=0),"",J304/H304)</f>
        <v/>
      </c>
      <c r="N304" s="10" t="str">
        <f aca="false">IF(OR(J304="",I304="",I304=0),"",J304/I304)</f>
        <v/>
      </c>
      <c r="O304" s="10" t="str">
        <f aca="false">IF(OR(J304="",L304="",L304=0),"",J304/L304)</f>
        <v/>
      </c>
      <c r="P304" s="6"/>
    </row>
    <row r="305" customFormat="false" ht="15" hidden="false" customHeight="false" outlineLevel="0" collapsed="false">
      <c r="A305" s="5"/>
      <c r="B305" s="6"/>
      <c r="C305" s="6"/>
      <c r="D305" s="6"/>
      <c r="E305" s="6"/>
      <c r="F305" s="6"/>
      <c r="G305" s="6"/>
      <c r="H305" s="6"/>
      <c r="I305" s="7"/>
      <c r="J305" s="8"/>
      <c r="K305" s="6"/>
      <c r="L305" s="9" t="str">
        <f aca="false">IF(OR(E305="",H305=""),"",E305*H305)</f>
        <v/>
      </c>
      <c r="M305" s="10" t="str">
        <f aca="false">IF(OR(J305="",H305="",H305=0),"",J305/H305)</f>
        <v/>
      </c>
      <c r="N305" s="10" t="str">
        <f aca="false">IF(OR(J305="",I305="",I305=0),"",J305/I305)</f>
        <v/>
      </c>
      <c r="O305" s="10" t="str">
        <f aca="false">IF(OR(J305="",L305="",L305=0),"",J305/L305)</f>
        <v/>
      </c>
      <c r="P305" s="6"/>
    </row>
    <row r="306" customFormat="false" ht="15" hidden="false" customHeight="false" outlineLevel="0" collapsed="false">
      <c r="A306" s="5"/>
      <c r="B306" s="6"/>
      <c r="C306" s="6"/>
      <c r="D306" s="6"/>
      <c r="E306" s="6"/>
      <c r="F306" s="6"/>
      <c r="G306" s="6"/>
      <c r="H306" s="6"/>
      <c r="I306" s="7"/>
      <c r="J306" s="8"/>
      <c r="K306" s="6"/>
      <c r="L306" s="9" t="str">
        <f aca="false">IF(OR(E306="",H306=""),"",E306*H306)</f>
        <v/>
      </c>
      <c r="M306" s="10" t="str">
        <f aca="false">IF(OR(J306="",H306="",H306=0),"",J306/H306)</f>
        <v/>
      </c>
      <c r="N306" s="10" t="str">
        <f aca="false">IF(OR(J306="",I306="",I306=0),"",J306/I306)</f>
        <v/>
      </c>
      <c r="O306" s="10" t="str">
        <f aca="false">IF(OR(J306="",L306="",L306=0),"",J306/L306)</f>
        <v/>
      </c>
      <c r="P306" s="6"/>
    </row>
    <row r="307" customFormat="false" ht="15" hidden="false" customHeight="false" outlineLevel="0" collapsed="false">
      <c r="A307" s="5"/>
      <c r="B307" s="6"/>
      <c r="C307" s="6"/>
      <c r="D307" s="6"/>
      <c r="E307" s="6"/>
      <c r="F307" s="6"/>
      <c r="G307" s="6"/>
      <c r="H307" s="6"/>
      <c r="I307" s="7"/>
      <c r="J307" s="8"/>
      <c r="K307" s="6"/>
      <c r="L307" s="9" t="str">
        <f aca="false">IF(OR(E307="",H307=""),"",E307*H307)</f>
        <v/>
      </c>
      <c r="M307" s="10" t="str">
        <f aca="false">IF(OR(J307="",H307="",H307=0),"",J307/H307)</f>
        <v/>
      </c>
      <c r="N307" s="10" t="str">
        <f aca="false">IF(OR(J307="",I307="",I307=0),"",J307/I307)</f>
        <v/>
      </c>
      <c r="O307" s="10" t="str">
        <f aca="false">IF(OR(J307="",L307="",L307=0),"",J307/L307)</f>
        <v/>
      </c>
      <c r="P307" s="6"/>
    </row>
    <row r="308" customFormat="false" ht="15" hidden="false" customHeight="false" outlineLevel="0" collapsed="false">
      <c r="A308" s="5"/>
      <c r="B308" s="6"/>
      <c r="C308" s="6"/>
      <c r="D308" s="6"/>
      <c r="E308" s="6"/>
      <c r="F308" s="6"/>
      <c r="G308" s="6"/>
      <c r="H308" s="6"/>
      <c r="I308" s="7"/>
      <c r="J308" s="8"/>
      <c r="K308" s="6"/>
      <c r="L308" s="9" t="str">
        <f aca="false">IF(OR(E308="",H308=""),"",E308*H308)</f>
        <v/>
      </c>
      <c r="M308" s="10" t="str">
        <f aca="false">IF(OR(J308="",H308="",H308=0),"",J308/H308)</f>
        <v/>
      </c>
      <c r="N308" s="10" t="str">
        <f aca="false">IF(OR(J308="",I308="",I308=0),"",J308/I308)</f>
        <v/>
      </c>
      <c r="O308" s="10" t="str">
        <f aca="false">IF(OR(J308="",L308="",L308=0),"",J308/L308)</f>
        <v/>
      </c>
      <c r="P308" s="6"/>
    </row>
    <row r="309" customFormat="false" ht="15" hidden="false" customHeight="false" outlineLevel="0" collapsed="false">
      <c r="A309" s="5"/>
      <c r="B309" s="6"/>
      <c r="C309" s="6"/>
      <c r="D309" s="6"/>
      <c r="E309" s="6"/>
      <c r="F309" s="6"/>
      <c r="G309" s="6"/>
      <c r="H309" s="6"/>
      <c r="I309" s="7"/>
      <c r="J309" s="8"/>
      <c r="K309" s="6"/>
      <c r="L309" s="9" t="str">
        <f aca="false">IF(OR(E309="",H309=""),"",E309*H309)</f>
        <v/>
      </c>
      <c r="M309" s="10" t="str">
        <f aca="false">IF(OR(J309="",H309="",H309=0),"",J309/H309)</f>
        <v/>
      </c>
      <c r="N309" s="10" t="str">
        <f aca="false">IF(OR(J309="",I309="",I309=0),"",J309/I309)</f>
        <v/>
      </c>
      <c r="O309" s="10" t="str">
        <f aca="false">IF(OR(J309="",L309="",L309=0),"",J309/L309)</f>
        <v/>
      </c>
      <c r="P309" s="6"/>
    </row>
    <row r="310" customFormat="false" ht="15" hidden="false" customHeight="false" outlineLevel="0" collapsed="false">
      <c r="A310" s="5"/>
      <c r="B310" s="6"/>
      <c r="C310" s="6"/>
      <c r="D310" s="6"/>
      <c r="E310" s="6"/>
      <c r="F310" s="6"/>
      <c r="G310" s="6"/>
      <c r="H310" s="6"/>
      <c r="I310" s="7"/>
      <c r="J310" s="8"/>
      <c r="K310" s="6"/>
      <c r="L310" s="9" t="str">
        <f aca="false">IF(OR(E310="",H310=""),"",E310*H310)</f>
        <v/>
      </c>
      <c r="M310" s="10" t="str">
        <f aca="false">IF(OR(J310="",H310="",H310=0),"",J310/H310)</f>
        <v/>
      </c>
      <c r="N310" s="10" t="str">
        <f aca="false">IF(OR(J310="",I310="",I310=0),"",J310/I310)</f>
        <v/>
      </c>
      <c r="O310" s="10" t="str">
        <f aca="false">IF(OR(J310="",L310="",L310=0),"",J310/L310)</f>
        <v/>
      </c>
      <c r="P310" s="6"/>
    </row>
    <row r="311" customFormat="false" ht="15" hidden="false" customHeight="false" outlineLevel="0" collapsed="false">
      <c r="A311" s="5"/>
      <c r="B311" s="6"/>
      <c r="C311" s="6"/>
      <c r="D311" s="6"/>
      <c r="E311" s="6"/>
      <c r="F311" s="6"/>
      <c r="G311" s="6"/>
      <c r="H311" s="6"/>
      <c r="I311" s="7"/>
      <c r="J311" s="8"/>
      <c r="K311" s="6"/>
      <c r="L311" s="9" t="str">
        <f aca="false">IF(OR(E311="",H311=""),"",E311*H311)</f>
        <v/>
      </c>
      <c r="M311" s="10" t="str">
        <f aca="false">IF(OR(J311="",H311="",H311=0),"",J311/H311)</f>
        <v/>
      </c>
      <c r="N311" s="10" t="str">
        <f aca="false">IF(OR(J311="",I311="",I311=0),"",J311/I311)</f>
        <v/>
      </c>
      <c r="O311" s="10" t="str">
        <f aca="false">IF(OR(J311="",L311="",L311=0),"",J311/L311)</f>
        <v/>
      </c>
      <c r="P311" s="6"/>
    </row>
    <row r="312" customFormat="false" ht="15" hidden="false" customHeight="false" outlineLevel="0" collapsed="false">
      <c r="A312" s="5"/>
      <c r="B312" s="6"/>
      <c r="C312" s="6"/>
      <c r="D312" s="6"/>
      <c r="E312" s="6"/>
      <c r="F312" s="6"/>
      <c r="G312" s="6"/>
      <c r="H312" s="6"/>
      <c r="I312" s="7"/>
      <c r="J312" s="8"/>
      <c r="K312" s="6"/>
      <c r="L312" s="9" t="str">
        <f aca="false">IF(OR(E312="",H312=""),"",E312*H312)</f>
        <v/>
      </c>
      <c r="M312" s="10" t="str">
        <f aca="false">IF(OR(J312="",H312="",H312=0),"",J312/H312)</f>
        <v/>
      </c>
      <c r="N312" s="10" t="str">
        <f aca="false">IF(OR(J312="",I312="",I312=0),"",J312/I312)</f>
        <v/>
      </c>
      <c r="O312" s="10" t="str">
        <f aca="false">IF(OR(J312="",L312="",L312=0),"",J312/L312)</f>
        <v/>
      </c>
      <c r="P312" s="6"/>
    </row>
    <row r="313" customFormat="false" ht="15" hidden="false" customHeight="false" outlineLevel="0" collapsed="false">
      <c r="A313" s="5"/>
      <c r="B313" s="6"/>
      <c r="C313" s="6"/>
      <c r="D313" s="6"/>
      <c r="E313" s="6"/>
      <c r="F313" s="6"/>
      <c r="G313" s="6"/>
      <c r="H313" s="6"/>
      <c r="I313" s="7"/>
      <c r="J313" s="8"/>
      <c r="K313" s="6"/>
      <c r="L313" s="9" t="str">
        <f aca="false">IF(OR(E313="",H313=""),"",E313*H313)</f>
        <v/>
      </c>
      <c r="M313" s="10" t="str">
        <f aca="false">IF(OR(J313="",H313="",H313=0),"",J313/H313)</f>
        <v/>
      </c>
      <c r="N313" s="10" t="str">
        <f aca="false">IF(OR(J313="",I313="",I313=0),"",J313/I313)</f>
        <v/>
      </c>
      <c r="O313" s="10" t="str">
        <f aca="false">IF(OR(J313="",L313="",L313=0),"",J313/L313)</f>
        <v/>
      </c>
      <c r="P313" s="6"/>
    </row>
    <row r="314" customFormat="false" ht="15" hidden="false" customHeight="false" outlineLevel="0" collapsed="false">
      <c r="A314" s="5"/>
      <c r="B314" s="6"/>
      <c r="C314" s="6"/>
      <c r="D314" s="6"/>
      <c r="E314" s="6"/>
      <c r="F314" s="6"/>
      <c r="G314" s="6"/>
      <c r="H314" s="6"/>
      <c r="I314" s="7"/>
      <c r="J314" s="8"/>
      <c r="K314" s="6"/>
      <c r="L314" s="9" t="str">
        <f aca="false">IF(OR(E314="",H314=""),"",E314*H314)</f>
        <v/>
      </c>
      <c r="M314" s="10" t="str">
        <f aca="false">IF(OR(J314="",H314="",H314=0),"",J314/H314)</f>
        <v/>
      </c>
      <c r="N314" s="10" t="str">
        <f aca="false">IF(OR(J314="",I314="",I314=0),"",J314/I314)</f>
        <v/>
      </c>
      <c r="O314" s="10" t="str">
        <f aca="false">IF(OR(J314="",L314="",L314=0),"",J314/L314)</f>
        <v/>
      </c>
      <c r="P314" s="6"/>
    </row>
    <row r="315" customFormat="false" ht="15" hidden="false" customHeight="false" outlineLevel="0" collapsed="false">
      <c r="A315" s="5"/>
      <c r="B315" s="6"/>
      <c r="C315" s="6"/>
      <c r="D315" s="6"/>
      <c r="E315" s="6"/>
      <c r="F315" s="6"/>
      <c r="G315" s="6"/>
      <c r="H315" s="6"/>
      <c r="I315" s="7"/>
      <c r="J315" s="8"/>
      <c r="K315" s="6"/>
      <c r="L315" s="9" t="str">
        <f aca="false">IF(OR(E315="",H315=""),"",E315*H315)</f>
        <v/>
      </c>
      <c r="M315" s="10" t="str">
        <f aca="false">IF(OR(J315="",H315="",H315=0),"",J315/H315)</f>
        <v/>
      </c>
      <c r="N315" s="10" t="str">
        <f aca="false">IF(OR(J315="",I315="",I315=0),"",J315/I315)</f>
        <v/>
      </c>
      <c r="O315" s="10" t="str">
        <f aca="false">IF(OR(J315="",L315="",L315=0),"",J315/L315)</f>
        <v/>
      </c>
      <c r="P315" s="6"/>
    </row>
    <row r="316" customFormat="false" ht="15" hidden="false" customHeight="false" outlineLevel="0" collapsed="false">
      <c r="A316" s="5"/>
      <c r="B316" s="6"/>
      <c r="C316" s="6"/>
      <c r="D316" s="6"/>
      <c r="E316" s="6"/>
      <c r="F316" s="6"/>
      <c r="G316" s="6"/>
      <c r="H316" s="6"/>
      <c r="I316" s="7"/>
      <c r="J316" s="8"/>
      <c r="K316" s="6"/>
      <c r="L316" s="9" t="str">
        <f aca="false">IF(OR(E316="",H316=""),"",E316*H316)</f>
        <v/>
      </c>
      <c r="M316" s="10" t="str">
        <f aca="false">IF(OR(J316="",H316="",H316=0),"",J316/H316)</f>
        <v/>
      </c>
      <c r="N316" s="10" t="str">
        <f aca="false">IF(OR(J316="",I316="",I316=0),"",J316/I316)</f>
        <v/>
      </c>
      <c r="O316" s="10" t="str">
        <f aca="false">IF(OR(J316="",L316="",L316=0),"",J316/L316)</f>
        <v/>
      </c>
      <c r="P316" s="6"/>
    </row>
    <row r="317" customFormat="false" ht="15" hidden="false" customHeight="false" outlineLevel="0" collapsed="false">
      <c r="A317" s="5"/>
      <c r="B317" s="6"/>
      <c r="C317" s="6"/>
      <c r="D317" s="6"/>
      <c r="E317" s="6"/>
      <c r="F317" s="6"/>
      <c r="G317" s="6"/>
      <c r="H317" s="6"/>
      <c r="I317" s="7"/>
      <c r="J317" s="8"/>
      <c r="K317" s="6"/>
      <c r="L317" s="9" t="str">
        <f aca="false">IF(OR(E317="",H317=""),"",E317*H317)</f>
        <v/>
      </c>
      <c r="M317" s="10" t="str">
        <f aca="false">IF(OR(J317="",H317="",H317=0),"",J317/H317)</f>
        <v/>
      </c>
      <c r="N317" s="10" t="str">
        <f aca="false">IF(OR(J317="",I317="",I317=0),"",J317/I317)</f>
        <v/>
      </c>
      <c r="O317" s="10" t="str">
        <f aca="false">IF(OR(J317="",L317="",L317=0),"",J317/L317)</f>
        <v/>
      </c>
      <c r="P317" s="6"/>
    </row>
    <row r="318" customFormat="false" ht="15" hidden="false" customHeight="false" outlineLevel="0" collapsed="false">
      <c r="A318" s="5"/>
      <c r="B318" s="6"/>
      <c r="C318" s="6"/>
      <c r="D318" s="6"/>
      <c r="E318" s="6"/>
      <c r="F318" s="6"/>
      <c r="G318" s="6"/>
      <c r="H318" s="6"/>
      <c r="I318" s="7"/>
      <c r="J318" s="8"/>
      <c r="K318" s="6"/>
      <c r="L318" s="9" t="str">
        <f aca="false">IF(OR(E318="",H318=""),"",E318*H318)</f>
        <v/>
      </c>
      <c r="M318" s="10" t="str">
        <f aca="false">IF(OR(J318="",H318="",H318=0),"",J318/H318)</f>
        <v/>
      </c>
      <c r="N318" s="10" t="str">
        <f aca="false">IF(OR(J318="",I318="",I318=0),"",J318/I318)</f>
        <v/>
      </c>
      <c r="O318" s="10" t="str">
        <f aca="false">IF(OR(J318="",L318="",L318=0),"",J318/L318)</f>
        <v/>
      </c>
      <c r="P318" s="6"/>
    </row>
    <row r="319" customFormat="false" ht="15" hidden="false" customHeight="false" outlineLevel="0" collapsed="false">
      <c r="A319" s="5"/>
      <c r="B319" s="6"/>
      <c r="C319" s="6"/>
      <c r="D319" s="6"/>
      <c r="E319" s="6"/>
      <c r="F319" s="6"/>
      <c r="G319" s="6"/>
      <c r="H319" s="6"/>
      <c r="I319" s="7"/>
      <c r="J319" s="8"/>
      <c r="K319" s="6"/>
      <c r="L319" s="9" t="str">
        <f aca="false">IF(OR(E319="",H319=""),"",E319*H319)</f>
        <v/>
      </c>
      <c r="M319" s="10" t="str">
        <f aca="false">IF(OR(J319="",H319="",H319=0),"",J319/H319)</f>
        <v/>
      </c>
      <c r="N319" s="10" t="str">
        <f aca="false">IF(OR(J319="",I319="",I319=0),"",J319/I319)</f>
        <v/>
      </c>
      <c r="O319" s="10" t="str">
        <f aca="false">IF(OR(J319="",L319="",L319=0),"",J319/L319)</f>
        <v/>
      </c>
      <c r="P319" s="6"/>
    </row>
    <row r="320" customFormat="false" ht="15" hidden="false" customHeight="false" outlineLevel="0" collapsed="false">
      <c r="A320" s="5"/>
      <c r="B320" s="6"/>
      <c r="C320" s="6"/>
      <c r="D320" s="6"/>
      <c r="E320" s="6"/>
      <c r="F320" s="6"/>
      <c r="G320" s="6"/>
      <c r="H320" s="6"/>
      <c r="I320" s="7"/>
      <c r="J320" s="8"/>
      <c r="K320" s="6"/>
      <c r="L320" s="9" t="str">
        <f aca="false">IF(OR(E320="",H320=""),"",E320*H320)</f>
        <v/>
      </c>
      <c r="M320" s="10" t="str">
        <f aca="false">IF(OR(J320="",H320="",H320=0),"",J320/H320)</f>
        <v/>
      </c>
      <c r="N320" s="10" t="str">
        <f aca="false">IF(OR(J320="",I320="",I320=0),"",J320/I320)</f>
        <v/>
      </c>
      <c r="O320" s="10" t="str">
        <f aca="false">IF(OR(J320="",L320="",L320=0),"",J320/L320)</f>
        <v/>
      </c>
      <c r="P320" s="6"/>
    </row>
    <row r="321" customFormat="false" ht="15" hidden="false" customHeight="false" outlineLevel="0" collapsed="false">
      <c r="A321" s="5"/>
      <c r="B321" s="6"/>
      <c r="C321" s="6"/>
      <c r="D321" s="6"/>
      <c r="E321" s="6"/>
      <c r="F321" s="6"/>
      <c r="G321" s="6"/>
      <c r="H321" s="6"/>
      <c r="I321" s="7"/>
      <c r="J321" s="8"/>
      <c r="K321" s="6"/>
      <c r="L321" s="9" t="str">
        <f aca="false">IF(OR(E321="",H321=""),"",E321*H321)</f>
        <v/>
      </c>
      <c r="M321" s="10" t="str">
        <f aca="false">IF(OR(J321="",H321="",H321=0),"",J321/H321)</f>
        <v/>
      </c>
      <c r="N321" s="10" t="str">
        <f aca="false">IF(OR(J321="",I321="",I321=0),"",J321/I321)</f>
        <v/>
      </c>
      <c r="O321" s="10" t="str">
        <f aca="false">IF(OR(J321="",L321="",L321=0),"",J321/L321)</f>
        <v/>
      </c>
      <c r="P321" s="6"/>
    </row>
    <row r="322" customFormat="false" ht="15" hidden="false" customHeight="false" outlineLevel="0" collapsed="false">
      <c r="A322" s="5"/>
      <c r="B322" s="6"/>
      <c r="C322" s="6"/>
      <c r="D322" s="6"/>
      <c r="E322" s="6"/>
      <c r="F322" s="6"/>
      <c r="G322" s="6"/>
      <c r="H322" s="6"/>
      <c r="I322" s="7"/>
      <c r="J322" s="8"/>
      <c r="K322" s="6"/>
      <c r="L322" s="9" t="str">
        <f aca="false">IF(OR(E322="",H322=""),"",E322*H322)</f>
        <v/>
      </c>
      <c r="M322" s="10" t="str">
        <f aca="false">IF(OR(J322="",H322="",H322=0),"",J322/H322)</f>
        <v/>
      </c>
      <c r="N322" s="10" t="str">
        <f aca="false">IF(OR(J322="",I322="",I322=0),"",J322/I322)</f>
        <v/>
      </c>
      <c r="O322" s="10" t="str">
        <f aca="false">IF(OR(J322="",L322="",L322=0),"",J322/L322)</f>
        <v/>
      </c>
      <c r="P322" s="6"/>
    </row>
    <row r="323" customFormat="false" ht="15" hidden="false" customHeight="false" outlineLevel="0" collapsed="false">
      <c r="A323" s="5"/>
      <c r="B323" s="6"/>
      <c r="C323" s="6"/>
      <c r="D323" s="6"/>
      <c r="E323" s="6"/>
      <c r="F323" s="6"/>
      <c r="G323" s="6"/>
      <c r="H323" s="6"/>
      <c r="I323" s="7"/>
      <c r="J323" s="8"/>
      <c r="K323" s="6"/>
      <c r="L323" s="9" t="str">
        <f aca="false">IF(OR(E323="",H323=""),"",E323*H323)</f>
        <v/>
      </c>
      <c r="M323" s="10" t="str">
        <f aca="false">IF(OR(J323="",H323="",H323=0),"",J323/H323)</f>
        <v/>
      </c>
      <c r="N323" s="10" t="str">
        <f aca="false">IF(OR(J323="",I323="",I323=0),"",J323/I323)</f>
        <v/>
      </c>
      <c r="O323" s="10" t="str">
        <f aca="false">IF(OR(J323="",L323="",L323=0),"",J323/L323)</f>
        <v/>
      </c>
      <c r="P323" s="6"/>
    </row>
    <row r="324" customFormat="false" ht="15" hidden="false" customHeight="false" outlineLevel="0" collapsed="false">
      <c r="A324" s="5"/>
      <c r="B324" s="6"/>
      <c r="C324" s="6"/>
      <c r="D324" s="6"/>
      <c r="E324" s="6"/>
      <c r="F324" s="6"/>
      <c r="G324" s="6"/>
      <c r="H324" s="6"/>
      <c r="I324" s="7"/>
      <c r="J324" s="8"/>
      <c r="K324" s="6"/>
      <c r="L324" s="9" t="str">
        <f aca="false">IF(OR(E324="",H324=""),"",E324*H324)</f>
        <v/>
      </c>
      <c r="M324" s="10" t="str">
        <f aca="false">IF(OR(J324="",H324="",H324=0),"",J324/H324)</f>
        <v/>
      </c>
      <c r="N324" s="10" t="str">
        <f aca="false">IF(OR(J324="",I324="",I324=0),"",J324/I324)</f>
        <v/>
      </c>
      <c r="O324" s="10" t="str">
        <f aca="false">IF(OR(J324="",L324="",L324=0),"",J324/L324)</f>
        <v/>
      </c>
      <c r="P324" s="6"/>
    </row>
    <row r="325" customFormat="false" ht="15" hidden="false" customHeight="false" outlineLevel="0" collapsed="false">
      <c r="A325" s="5"/>
      <c r="B325" s="6"/>
      <c r="C325" s="6"/>
      <c r="D325" s="6"/>
      <c r="E325" s="6"/>
      <c r="F325" s="6"/>
      <c r="G325" s="6"/>
      <c r="H325" s="6"/>
      <c r="I325" s="7"/>
      <c r="J325" s="8"/>
      <c r="K325" s="6"/>
      <c r="L325" s="9" t="str">
        <f aca="false">IF(OR(E325="",H325=""),"",E325*H325)</f>
        <v/>
      </c>
      <c r="M325" s="10" t="str">
        <f aca="false">IF(OR(J325="",H325="",H325=0),"",J325/H325)</f>
        <v/>
      </c>
      <c r="N325" s="10" t="str">
        <f aca="false">IF(OR(J325="",I325="",I325=0),"",J325/I325)</f>
        <v/>
      </c>
      <c r="O325" s="10" t="str">
        <f aca="false">IF(OR(J325="",L325="",L325=0),"",J325/L325)</f>
        <v/>
      </c>
      <c r="P325" s="6"/>
    </row>
    <row r="326" customFormat="false" ht="15" hidden="false" customHeight="false" outlineLevel="0" collapsed="false">
      <c r="A326" s="5"/>
      <c r="B326" s="6"/>
      <c r="C326" s="6"/>
      <c r="D326" s="6"/>
      <c r="E326" s="6"/>
      <c r="F326" s="6"/>
      <c r="G326" s="6"/>
      <c r="H326" s="6"/>
      <c r="I326" s="7"/>
      <c r="J326" s="8"/>
      <c r="K326" s="6"/>
      <c r="L326" s="9" t="str">
        <f aca="false">IF(OR(E326="",H326=""),"",E326*H326)</f>
        <v/>
      </c>
      <c r="M326" s="10" t="str">
        <f aca="false">IF(OR(J326="",H326="",H326=0),"",J326/H326)</f>
        <v/>
      </c>
      <c r="N326" s="10" t="str">
        <f aca="false">IF(OR(J326="",I326="",I326=0),"",J326/I326)</f>
        <v/>
      </c>
      <c r="O326" s="10" t="str">
        <f aca="false">IF(OR(J326="",L326="",L326=0),"",J326/L326)</f>
        <v/>
      </c>
      <c r="P326" s="6"/>
    </row>
    <row r="327" customFormat="false" ht="15" hidden="false" customHeight="false" outlineLevel="0" collapsed="false">
      <c r="A327" s="5"/>
      <c r="B327" s="6"/>
      <c r="C327" s="6"/>
      <c r="D327" s="6"/>
      <c r="E327" s="6"/>
      <c r="F327" s="6"/>
      <c r="G327" s="6"/>
      <c r="H327" s="6"/>
      <c r="I327" s="7"/>
      <c r="J327" s="8"/>
      <c r="K327" s="6"/>
      <c r="L327" s="9" t="str">
        <f aca="false">IF(OR(E327="",H327=""),"",E327*H327)</f>
        <v/>
      </c>
      <c r="M327" s="10" t="str">
        <f aca="false">IF(OR(J327="",H327="",H327=0),"",J327/H327)</f>
        <v/>
      </c>
      <c r="N327" s="10" t="str">
        <f aca="false">IF(OR(J327="",I327="",I327=0),"",J327/I327)</f>
        <v/>
      </c>
      <c r="O327" s="10" t="str">
        <f aca="false">IF(OR(J327="",L327="",L327=0),"",J327/L327)</f>
        <v/>
      </c>
      <c r="P327" s="6"/>
    </row>
    <row r="328" customFormat="false" ht="15" hidden="false" customHeight="false" outlineLevel="0" collapsed="false">
      <c r="A328" s="5"/>
      <c r="B328" s="6"/>
      <c r="C328" s="6"/>
      <c r="D328" s="6"/>
      <c r="E328" s="6"/>
      <c r="F328" s="6"/>
      <c r="G328" s="6"/>
      <c r="H328" s="6"/>
      <c r="I328" s="7"/>
      <c r="J328" s="8"/>
      <c r="K328" s="6"/>
      <c r="L328" s="9" t="str">
        <f aca="false">IF(OR(E328="",H328=""),"",E328*H328)</f>
        <v/>
      </c>
      <c r="M328" s="10" t="str">
        <f aca="false">IF(OR(J328="",H328="",H328=0),"",J328/H328)</f>
        <v/>
      </c>
      <c r="N328" s="10" t="str">
        <f aca="false">IF(OR(J328="",I328="",I328=0),"",J328/I328)</f>
        <v/>
      </c>
      <c r="O328" s="10" t="str">
        <f aca="false">IF(OR(J328="",L328="",L328=0),"",J328/L328)</f>
        <v/>
      </c>
      <c r="P328" s="6"/>
    </row>
    <row r="329" customFormat="false" ht="15" hidden="false" customHeight="false" outlineLevel="0" collapsed="false">
      <c r="A329" s="5"/>
      <c r="B329" s="6"/>
      <c r="C329" s="6"/>
      <c r="D329" s="6"/>
      <c r="E329" s="6"/>
      <c r="F329" s="6"/>
      <c r="G329" s="6"/>
      <c r="H329" s="6"/>
      <c r="I329" s="7"/>
      <c r="J329" s="8"/>
      <c r="K329" s="6"/>
      <c r="L329" s="9" t="str">
        <f aca="false">IF(OR(E329="",H329=""),"",E329*H329)</f>
        <v/>
      </c>
      <c r="M329" s="10" t="str">
        <f aca="false">IF(OR(J329="",H329="",H329=0),"",J329/H329)</f>
        <v/>
      </c>
      <c r="N329" s="10" t="str">
        <f aca="false">IF(OR(J329="",I329="",I329=0),"",J329/I329)</f>
        <v/>
      </c>
      <c r="O329" s="10" t="str">
        <f aca="false">IF(OR(J329="",L329="",L329=0),"",J329/L329)</f>
        <v/>
      </c>
      <c r="P329" s="6"/>
    </row>
    <row r="330" customFormat="false" ht="15" hidden="false" customHeight="false" outlineLevel="0" collapsed="false">
      <c r="A330" s="5"/>
      <c r="B330" s="6"/>
      <c r="C330" s="6"/>
      <c r="D330" s="6"/>
      <c r="E330" s="6"/>
      <c r="F330" s="6"/>
      <c r="G330" s="6"/>
      <c r="H330" s="6"/>
      <c r="I330" s="7"/>
      <c r="J330" s="8"/>
      <c r="K330" s="6"/>
      <c r="L330" s="9" t="str">
        <f aca="false">IF(OR(E330="",H330=""),"",E330*H330)</f>
        <v/>
      </c>
      <c r="M330" s="10" t="str">
        <f aca="false">IF(OR(J330="",H330="",H330=0),"",J330/H330)</f>
        <v/>
      </c>
      <c r="N330" s="10" t="str">
        <f aca="false">IF(OR(J330="",I330="",I330=0),"",J330/I330)</f>
        <v/>
      </c>
      <c r="O330" s="10" t="str">
        <f aca="false">IF(OR(J330="",L330="",L330=0),"",J330/L330)</f>
        <v/>
      </c>
      <c r="P330" s="6"/>
    </row>
    <row r="331" customFormat="false" ht="15" hidden="false" customHeight="false" outlineLevel="0" collapsed="false">
      <c r="A331" s="5"/>
      <c r="B331" s="6"/>
      <c r="C331" s="6"/>
      <c r="D331" s="6"/>
      <c r="E331" s="6"/>
      <c r="F331" s="6"/>
      <c r="G331" s="6"/>
      <c r="H331" s="6"/>
      <c r="I331" s="7"/>
      <c r="J331" s="8"/>
      <c r="K331" s="6"/>
      <c r="L331" s="9" t="str">
        <f aca="false">IF(OR(E331="",H331=""),"",E331*H331)</f>
        <v/>
      </c>
      <c r="M331" s="10" t="str">
        <f aca="false">IF(OR(J331="",H331="",H331=0),"",J331/H331)</f>
        <v/>
      </c>
      <c r="N331" s="10" t="str">
        <f aca="false">IF(OR(J331="",I331="",I331=0),"",J331/I331)</f>
        <v/>
      </c>
      <c r="O331" s="10" t="str">
        <f aca="false">IF(OR(J331="",L331="",L331=0),"",J331/L331)</f>
        <v/>
      </c>
      <c r="P331" s="6"/>
    </row>
    <row r="332" customFormat="false" ht="15" hidden="false" customHeight="false" outlineLevel="0" collapsed="false">
      <c r="A332" s="5"/>
      <c r="B332" s="6"/>
      <c r="C332" s="6"/>
      <c r="D332" s="6"/>
      <c r="E332" s="6"/>
      <c r="F332" s="6"/>
      <c r="G332" s="6"/>
      <c r="H332" s="6"/>
      <c r="I332" s="7"/>
      <c r="J332" s="8"/>
      <c r="K332" s="6"/>
      <c r="L332" s="9" t="str">
        <f aca="false">IF(OR(E332="",H332=""),"",E332*H332)</f>
        <v/>
      </c>
      <c r="M332" s="10" t="str">
        <f aca="false">IF(OR(J332="",H332="",H332=0),"",J332/H332)</f>
        <v/>
      </c>
      <c r="N332" s="10" t="str">
        <f aca="false">IF(OR(J332="",I332="",I332=0),"",J332/I332)</f>
        <v/>
      </c>
      <c r="O332" s="10" t="str">
        <f aca="false">IF(OR(J332="",L332="",L332=0),"",J332/L332)</f>
        <v/>
      </c>
      <c r="P332" s="6"/>
    </row>
    <row r="333" customFormat="false" ht="15" hidden="false" customHeight="false" outlineLevel="0" collapsed="false">
      <c r="A333" s="5"/>
      <c r="B333" s="6"/>
      <c r="C333" s="6"/>
      <c r="D333" s="6"/>
      <c r="E333" s="6"/>
      <c r="F333" s="6"/>
      <c r="G333" s="6"/>
      <c r="H333" s="6"/>
      <c r="I333" s="7"/>
      <c r="J333" s="8"/>
      <c r="K333" s="6"/>
      <c r="L333" s="9" t="str">
        <f aca="false">IF(OR(E333="",H333=""),"",E333*H333)</f>
        <v/>
      </c>
      <c r="M333" s="10" t="str">
        <f aca="false">IF(OR(J333="",H333="",H333=0),"",J333/H333)</f>
        <v/>
      </c>
      <c r="N333" s="10" t="str">
        <f aca="false">IF(OR(J333="",I333="",I333=0),"",J333/I333)</f>
        <v/>
      </c>
      <c r="O333" s="10" t="str">
        <f aca="false">IF(OR(J333="",L333="",L333=0),"",J333/L333)</f>
        <v/>
      </c>
      <c r="P333" s="6"/>
    </row>
    <row r="334" customFormat="false" ht="15" hidden="false" customHeight="false" outlineLevel="0" collapsed="false">
      <c r="A334" s="5"/>
      <c r="B334" s="6"/>
      <c r="C334" s="6"/>
      <c r="D334" s="6"/>
      <c r="E334" s="6"/>
      <c r="F334" s="6"/>
      <c r="G334" s="6"/>
      <c r="H334" s="6"/>
      <c r="I334" s="7"/>
      <c r="J334" s="8"/>
      <c r="K334" s="6"/>
      <c r="L334" s="9" t="str">
        <f aca="false">IF(OR(E334="",H334=""),"",E334*H334)</f>
        <v/>
      </c>
      <c r="M334" s="10" t="str">
        <f aca="false">IF(OR(J334="",H334="",H334=0),"",J334/H334)</f>
        <v/>
      </c>
      <c r="N334" s="10" t="str">
        <f aca="false">IF(OR(J334="",I334="",I334=0),"",J334/I334)</f>
        <v/>
      </c>
      <c r="O334" s="10" t="str">
        <f aca="false">IF(OR(J334="",L334="",L334=0),"",J334/L334)</f>
        <v/>
      </c>
      <c r="P334" s="6"/>
    </row>
    <row r="335" customFormat="false" ht="15" hidden="false" customHeight="false" outlineLevel="0" collapsed="false">
      <c r="A335" s="5"/>
      <c r="B335" s="6"/>
      <c r="C335" s="6"/>
      <c r="D335" s="6"/>
      <c r="E335" s="6"/>
      <c r="F335" s="6"/>
      <c r="G335" s="6"/>
      <c r="H335" s="6"/>
      <c r="I335" s="7"/>
      <c r="J335" s="8"/>
      <c r="K335" s="6"/>
      <c r="L335" s="9" t="str">
        <f aca="false">IF(OR(E335="",H335=""),"",E335*H335)</f>
        <v/>
      </c>
      <c r="M335" s="10" t="str">
        <f aca="false">IF(OR(J335="",H335="",H335=0),"",J335/H335)</f>
        <v/>
      </c>
      <c r="N335" s="10" t="str">
        <f aca="false">IF(OR(J335="",I335="",I335=0),"",J335/I335)</f>
        <v/>
      </c>
      <c r="O335" s="10" t="str">
        <f aca="false">IF(OR(J335="",L335="",L335=0),"",J335/L335)</f>
        <v/>
      </c>
      <c r="P335" s="6"/>
    </row>
    <row r="336" customFormat="false" ht="15" hidden="false" customHeight="false" outlineLevel="0" collapsed="false">
      <c r="A336" s="5"/>
      <c r="B336" s="6"/>
      <c r="C336" s="6"/>
      <c r="D336" s="6"/>
      <c r="E336" s="6"/>
      <c r="F336" s="6"/>
      <c r="G336" s="6"/>
      <c r="H336" s="6"/>
      <c r="I336" s="7"/>
      <c r="J336" s="8"/>
      <c r="K336" s="6"/>
      <c r="L336" s="9" t="str">
        <f aca="false">IF(OR(E336="",H336=""),"",E336*H336)</f>
        <v/>
      </c>
      <c r="M336" s="10" t="str">
        <f aca="false">IF(OR(J336="",H336="",H336=0),"",J336/H336)</f>
        <v/>
      </c>
      <c r="N336" s="10" t="str">
        <f aca="false">IF(OR(J336="",I336="",I336=0),"",J336/I336)</f>
        <v/>
      </c>
      <c r="O336" s="10" t="str">
        <f aca="false">IF(OR(J336="",L336="",L336=0),"",J336/L336)</f>
        <v/>
      </c>
      <c r="P336" s="6"/>
    </row>
    <row r="337" customFormat="false" ht="15" hidden="false" customHeight="false" outlineLevel="0" collapsed="false">
      <c r="A337" s="5"/>
      <c r="B337" s="6"/>
      <c r="C337" s="6"/>
      <c r="D337" s="6"/>
      <c r="E337" s="6"/>
      <c r="F337" s="6"/>
      <c r="G337" s="6"/>
      <c r="H337" s="6"/>
      <c r="I337" s="7"/>
      <c r="J337" s="8"/>
      <c r="K337" s="6"/>
      <c r="L337" s="9" t="str">
        <f aca="false">IF(OR(E337="",H337=""),"",E337*H337)</f>
        <v/>
      </c>
      <c r="M337" s="10" t="str">
        <f aca="false">IF(OR(J337="",H337="",H337=0),"",J337/H337)</f>
        <v/>
      </c>
      <c r="N337" s="10" t="str">
        <f aca="false">IF(OR(J337="",I337="",I337=0),"",J337/I337)</f>
        <v/>
      </c>
      <c r="O337" s="10" t="str">
        <f aca="false">IF(OR(J337="",L337="",L337=0),"",J337/L337)</f>
        <v/>
      </c>
      <c r="P337" s="6"/>
    </row>
    <row r="338" customFormat="false" ht="15" hidden="false" customHeight="false" outlineLevel="0" collapsed="false">
      <c r="A338" s="5"/>
      <c r="B338" s="6"/>
      <c r="C338" s="6"/>
      <c r="D338" s="6"/>
      <c r="E338" s="6"/>
      <c r="F338" s="6"/>
      <c r="G338" s="6"/>
      <c r="H338" s="6"/>
      <c r="I338" s="7"/>
      <c r="J338" s="8"/>
      <c r="K338" s="6"/>
      <c r="L338" s="9" t="str">
        <f aca="false">IF(OR(E338="",H338=""),"",E338*H338)</f>
        <v/>
      </c>
      <c r="M338" s="10" t="str">
        <f aca="false">IF(OR(J338="",H338="",H338=0),"",J338/H338)</f>
        <v/>
      </c>
      <c r="N338" s="10" t="str">
        <f aca="false">IF(OR(J338="",I338="",I338=0),"",J338/I338)</f>
        <v/>
      </c>
      <c r="O338" s="10" t="str">
        <f aca="false">IF(OR(J338="",L338="",L338=0),"",J338/L338)</f>
        <v/>
      </c>
      <c r="P338" s="6"/>
    </row>
    <row r="339" customFormat="false" ht="15" hidden="false" customHeight="false" outlineLevel="0" collapsed="false">
      <c r="A339" s="5"/>
      <c r="B339" s="6"/>
      <c r="C339" s="6"/>
      <c r="D339" s="6"/>
      <c r="E339" s="6"/>
      <c r="F339" s="6"/>
      <c r="G339" s="6"/>
      <c r="H339" s="6"/>
      <c r="I339" s="7"/>
      <c r="J339" s="8"/>
      <c r="K339" s="6"/>
      <c r="L339" s="9" t="str">
        <f aca="false">IF(OR(E339="",H339=""),"",E339*H339)</f>
        <v/>
      </c>
      <c r="M339" s="10" t="str">
        <f aca="false">IF(OR(J339="",H339="",H339=0),"",J339/H339)</f>
        <v/>
      </c>
      <c r="N339" s="10" t="str">
        <f aca="false">IF(OR(J339="",I339="",I339=0),"",J339/I339)</f>
        <v/>
      </c>
      <c r="O339" s="10" t="str">
        <f aca="false">IF(OR(J339="",L339="",L339=0),"",J339/L339)</f>
        <v/>
      </c>
      <c r="P339" s="6"/>
    </row>
    <row r="340" customFormat="false" ht="15" hidden="false" customHeight="false" outlineLevel="0" collapsed="false">
      <c r="A340" s="5"/>
      <c r="B340" s="6"/>
      <c r="C340" s="6"/>
      <c r="D340" s="6"/>
      <c r="E340" s="6"/>
      <c r="F340" s="6"/>
      <c r="G340" s="6"/>
      <c r="H340" s="6"/>
      <c r="I340" s="7"/>
      <c r="J340" s="8"/>
      <c r="K340" s="6"/>
      <c r="L340" s="9" t="str">
        <f aca="false">IF(OR(E340="",H340=""),"",E340*H340)</f>
        <v/>
      </c>
      <c r="M340" s="10" t="str">
        <f aca="false">IF(OR(J340="",H340="",H340=0),"",J340/H340)</f>
        <v/>
      </c>
      <c r="N340" s="10" t="str">
        <f aca="false">IF(OR(J340="",I340="",I340=0),"",J340/I340)</f>
        <v/>
      </c>
      <c r="O340" s="10" t="str">
        <f aca="false">IF(OR(J340="",L340="",L340=0),"",J340/L340)</f>
        <v/>
      </c>
      <c r="P340" s="6"/>
    </row>
    <row r="341" customFormat="false" ht="15" hidden="false" customHeight="false" outlineLevel="0" collapsed="false">
      <c r="A341" s="5"/>
      <c r="B341" s="6"/>
      <c r="C341" s="6"/>
      <c r="D341" s="6"/>
      <c r="E341" s="6"/>
      <c r="F341" s="6"/>
      <c r="G341" s="6"/>
      <c r="H341" s="6"/>
      <c r="I341" s="7"/>
      <c r="J341" s="8"/>
      <c r="K341" s="6"/>
      <c r="L341" s="9" t="str">
        <f aca="false">IF(OR(E341="",H341=""),"",E341*H341)</f>
        <v/>
      </c>
      <c r="M341" s="10" t="str">
        <f aca="false">IF(OR(J341="",H341="",H341=0),"",J341/H341)</f>
        <v/>
      </c>
      <c r="N341" s="10" t="str">
        <f aca="false">IF(OR(J341="",I341="",I341=0),"",J341/I341)</f>
        <v/>
      </c>
      <c r="O341" s="10" t="str">
        <f aca="false">IF(OR(J341="",L341="",L341=0),"",J341/L341)</f>
        <v/>
      </c>
      <c r="P341" s="6"/>
    </row>
    <row r="342" customFormat="false" ht="15" hidden="false" customHeight="false" outlineLevel="0" collapsed="false">
      <c r="A342" s="5"/>
      <c r="B342" s="6"/>
      <c r="C342" s="6"/>
      <c r="D342" s="6"/>
      <c r="E342" s="6"/>
      <c r="F342" s="6"/>
      <c r="G342" s="6"/>
      <c r="H342" s="6"/>
      <c r="I342" s="7"/>
      <c r="J342" s="8"/>
      <c r="K342" s="6"/>
      <c r="L342" s="9" t="str">
        <f aca="false">IF(OR(E342="",H342=""),"",E342*H342)</f>
        <v/>
      </c>
      <c r="M342" s="10" t="str">
        <f aca="false">IF(OR(J342="",H342="",H342=0),"",J342/H342)</f>
        <v/>
      </c>
      <c r="N342" s="10" t="str">
        <f aca="false">IF(OR(J342="",I342="",I342=0),"",J342/I342)</f>
        <v/>
      </c>
      <c r="O342" s="10" t="str">
        <f aca="false">IF(OR(J342="",L342="",L342=0),"",J342/L342)</f>
        <v/>
      </c>
      <c r="P342" s="6"/>
    </row>
    <row r="343" customFormat="false" ht="15" hidden="false" customHeight="false" outlineLevel="0" collapsed="false">
      <c r="A343" s="5"/>
      <c r="B343" s="6"/>
      <c r="C343" s="6"/>
      <c r="D343" s="6"/>
      <c r="E343" s="6"/>
      <c r="F343" s="6"/>
      <c r="G343" s="6"/>
      <c r="H343" s="6"/>
      <c r="I343" s="7"/>
      <c r="J343" s="8"/>
      <c r="K343" s="6"/>
      <c r="L343" s="9" t="str">
        <f aca="false">IF(OR(E343="",H343=""),"",E343*H343)</f>
        <v/>
      </c>
      <c r="M343" s="10" t="str">
        <f aca="false">IF(OR(J343="",H343="",H343=0),"",J343/H343)</f>
        <v/>
      </c>
      <c r="N343" s="10" t="str">
        <f aca="false">IF(OR(J343="",I343="",I343=0),"",J343/I343)</f>
        <v/>
      </c>
      <c r="O343" s="10" t="str">
        <f aca="false">IF(OR(J343="",L343="",L343=0),"",J343/L343)</f>
        <v/>
      </c>
      <c r="P343" s="6"/>
    </row>
    <row r="344" customFormat="false" ht="15" hidden="false" customHeight="false" outlineLevel="0" collapsed="false">
      <c r="A344" s="5"/>
      <c r="B344" s="6"/>
      <c r="C344" s="6"/>
      <c r="D344" s="6"/>
      <c r="E344" s="6"/>
      <c r="F344" s="6"/>
      <c r="G344" s="6"/>
      <c r="H344" s="6"/>
      <c r="I344" s="7"/>
      <c r="J344" s="8"/>
      <c r="K344" s="6"/>
      <c r="L344" s="9" t="str">
        <f aca="false">IF(OR(E344="",H344=""),"",E344*H344)</f>
        <v/>
      </c>
      <c r="M344" s="10" t="str">
        <f aca="false">IF(OR(J344="",H344="",H344=0),"",J344/H344)</f>
        <v/>
      </c>
      <c r="N344" s="10" t="str">
        <f aca="false">IF(OR(J344="",I344="",I344=0),"",J344/I344)</f>
        <v/>
      </c>
      <c r="O344" s="10" t="str">
        <f aca="false">IF(OR(J344="",L344="",L344=0),"",J344/L344)</f>
        <v/>
      </c>
      <c r="P344" s="6"/>
    </row>
    <row r="345" customFormat="false" ht="15" hidden="false" customHeight="false" outlineLevel="0" collapsed="false">
      <c r="A345" s="5"/>
      <c r="B345" s="6"/>
      <c r="C345" s="6"/>
      <c r="D345" s="6"/>
      <c r="E345" s="6"/>
      <c r="F345" s="6"/>
      <c r="G345" s="6"/>
      <c r="H345" s="6"/>
      <c r="I345" s="7"/>
      <c r="J345" s="8"/>
      <c r="K345" s="6"/>
      <c r="L345" s="9" t="str">
        <f aca="false">IF(OR(E345="",H345=""),"",E345*H345)</f>
        <v/>
      </c>
      <c r="M345" s="10" t="str">
        <f aca="false">IF(OR(J345="",H345="",H345=0),"",J345/H345)</f>
        <v/>
      </c>
      <c r="N345" s="10" t="str">
        <f aca="false">IF(OR(J345="",I345="",I345=0),"",J345/I345)</f>
        <v/>
      </c>
      <c r="O345" s="10" t="str">
        <f aca="false">IF(OR(J345="",L345="",L345=0),"",J345/L345)</f>
        <v/>
      </c>
      <c r="P345" s="6"/>
    </row>
    <row r="346" customFormat="false" ht="15" hidden="false" customHeight="false" outlineLevel="0" collapsed="false">
      <c r="A346" s="5"/>
      <c r="B346" s="6"/>
      <c r="C346" s="6"/>
      <c r="D346" s="6"/>
      <c r="E346" s="6"/>
      <c r="F346" s="6"/>
      <c r="G346" s="6"/>
      <c r="H346" s="6"/>
      <c r="I346" s="7"/>
      <c r="J346" s="8"/>
      <c r="K346" s="6"/>
      <c r="L346" s="9" t="str">
        <f aca="false">IF(OR(E346="",H346=""),"",E346*H346)</f>
        <v/>
      </c>
      <c r="M346" s="10" t="str">
        <f aca="false">IF(OR(J346="",H346="",H346=0),"",J346/H346)</f>
        <v/>
      </c>
      <c r="N346" s="10" t="str">
        <f aca="false">IF(OR(J346="",I346="",I346=0),"",J346/I346)</f>
        <v/>
      </c>
      <c r="O346" s="10" t="str">
        <f aca="false">IF(OR(J346="",L346="",L346=0),"",J346/L346)</f>
        <v/>
      </c>
      <c r="P346" s="6"/>
    </row>
    <row r="347" customFormat="false" ht="15" hidden="false" customHeight="false" outlineLevel="0" collapsed="false">
      <c r="A347" s="5"/>
      <c r="B347" s="6"/>
      <c r="C347" s="6"/>
      <c r="D347" s="6"/>
      <c r="E347" s="6"/>
      <c r="F347" s="6"/>
      <c r="G347" s="6"/>
      <c r="H347" s="6"/>
      <c r="I347" s="7"/>
      <c r="J347" s="8"/>
      <c r="K347" s="6"/>
      <c r="L347" s="9" t="str">
        <f aca="false">IF(OR(E347="",H347=""),"",E347*H347)</f>
        <v/>
      </c>
      <c r="M347" s="10" t="str">
        <f aca="false">IF(OR(J347="",H347="",H347=0),"",J347/H347)</f>
        <v/>
      </c>
      <c r="N347" s="10" t="str">
        <f aca="false">IF(OR(J347="",I347="",I347=0),"",J347/I347)</f>
        <v/>
      </c>
      <c r="O347" s="10" t="str">
        <f aca="false">IF(OR(J347="",L347="",L347=0),"",J347/L347)</f>
        <v/>
      </c>
      <c r="P347" s="6"/>
    </row>
    <row r="348" customFormat="false" ht="15" hidden="false" customHeight="false" outlineLevel="0" collapsed="false">
      <c r="A348" s="5"/>
      <c r="B348" s="6"/>
      <c r="C348" s="6"/>
      <c r="D348" s="6"/>
      <c r="E348" s="6"/>
      <c r="F348" s="6"/>
      <c r="G348" s="6"/>
      <c r="H348" s="6"/>
      <c r="I348" s="7"/>
      <c r="J348" s="8"/>
      <c r="K348" s="6"/>
      <c r="L348" s="9" t="str">
        <f aca="false">IF(OR(E348="",H348=""),"",E348*H348)</f>
        <v/>
      </c>
      <c r="M348" s="10" t="str">
        <f aca="false">IF(OR(J348="",H348="",H348=0),"",J348/H348)</f>
        <v/>
      </c>
      <c r="N348" s="10" t="str">
        <f aca="false">IF(OR(J348="",I348="",I348=0),"",J348/I348)</f>
        <v/>
      </c>
      <c r="O348" s="10" t="str">
        <f aca="false">IF(OR(J348="",L348="",L348=0),"",J348/L348)</f>
        <v/>
      </c>
      <c r="P348" s="6"/>
    </row>
    <row r="349" customFormat="false" ht="15" hidden="false" customHeight="false" outlineLevel="0" collapsed="false">
      <c r="A349" s="5"/>
      <c r="B349" s="6"/>
      <c r="C349" s="6"/>
      <c r="D349" s="6"/>
      <c r="E349" s="6"/>
      <c r="F349" s="6"/>
      <c r="G349" s="6"/>
      <c r="H349" s="6"/>
      <c r="I349" s="7"/>
      <c r="J349" s="8"/>
      <c r="K349" s="6"/>
      <c r="L349" s="9" t="str">
        <f aca="false">IF(OR(E349="",H349=""),"",E349*H349)</f>
        <v/>
      </c>
      <c r="M349" s="10" t="str">
        <f aca="false">IF(OR(J349="",H349="",H349=0),"",J349/H349)</f>
        <v/>
      </c>
      <c r="N349" s="10" t="str">
        <f aca="false">IF(OR(J349="",I349="",I349=0),"",J349/I349)</f>
        <v/>
      </c>
      <c r="O349" s="10" t="str">
        <f aca="false">IF(OR(J349="",L349="",L349=0),"",J349/L349)</f>
        <v/>
      </c>
      <c r="P349" s="6"/>
    </row>
    <row r="350" customFormat="false" ht="15" hidden="false" customHeight="false" outlineLevel="0" collapsed="false">
      <c r="A350" s="5"/>
      <c r="B350" s="6"/>
      <c r="C350" s="6"/>
      <c r="D350" s="6"/>
      <c r="E350" s="6"/>
      <c r="F350" s="6"/>
      <c r="G350" s="6"/>
      <c r="H350" s="6"/>
      <c r="I350" s="7"/>
      <c r="J350" s="8"/>
      <c r="K350" s="6"/>
      <c r="L350" s="9" t="str">
        <f aca="false">IF(OR(E350="",H350=""),"",E350*H350)</f>
        <v/>
      </c>
      <c r="M350" s="10" t="str">
        <f aca="false">IF(OR(J350="",H350="",H350=0),"",J350/H350)</f>
        <v/>
      </c>
      <c r="N350" s="10" t="str">
        <f aca="false">IF(OR(J350="",I350="",I350=0),"",J350/I350)</f>
        <v/>
      </c>
      <c r="O350" s="10" t="str">
        <f aca="false">IF(OR(J350="",L350="",L350=0),"",J350/L350)</f>
        <v/>
      </c>
      <c r="P350" s="6"/>
    </row>
    <row r="351" customFormat="false" ht="15" hidden="false" customHeight="false" outlineLevel="0" collapsed="false">
      <c r="A351" s="5"/>
      <c r="B351" s="6"/>
      <c r="C351" s="6"/>
      <c r="D351" s="6"/>
      <c r="E351" s="6"/>
      <c r="F351" s="6"/>
      <c r="G351" s="6"/>
      <c r="H351" s="6"/>
      <c r="I351" s="7"/>
      <c r="J351" s="8"/>
      <c r="K351" s="6"/>
      <c r="L351" s="9" t="str">
        <f aca="false">IF(OR(E351="",H351=""),"",E351*H351)</f>
        <v/>
      </c>
      <c r="M351" s="10" t="str">
        <f aca="false">IF(OR(J351="",H351="",H351=0),"",J351/H351)</f>
        <v/>
      </c>
      <c r="N351" s="10" t="str">
        <f aca="false">IF(OR(J351="",I351="",I351=0),"",J351/I351)</f>
        <v/>
      </c>
      <c r="O351" s="10" t="str">
        <f aca="false">IF(OR(J351="",L351="",L351=0),"",J351/L351)</f>
        <v/>
      </c>
      <c r="P351" s="6"/>
    </row>
    <row r="352" customFormat="false" ht="15" hidden="false" customHeight="false" outlineLevel="0" collapsed="false">
      <c r="A352" s="5"/>
      <c r="B352" s="6"/>
      <c r="C352" s="6"/>
      <c r="D352" s="6"/>
      <c r="E352" s="6"/>
      <c r="F352" s="6"/>
      <c r="G352" s="6"/>
      <c r="H352" s="6"/>
      <c r="I352" s="7"/>
      <c r="J352" s="8"/>
      <c r="K352" s="6"/>
      <c r="L352" s="9" t="str">
        <f aca="false">IF(OR(E352="",H352=""),"",E352*H352)</f>
        <v/>
      </c>
      <c r="M352" s="10" t="str">
        <f aca="false">IF(OR(J352="",H352="",H352=0),"",J352/H352)</f>
        <v/>
      </c>
      <c r="N352" s="10" t="str">
        <f aca="false">IF(OR(J352="",I352="",I352=0),"",J352/I352)</f>
        <v/>
      </c>
      <c r="O352" s="10" t="str">
        <f aca="false">IF(OR(J352="",L352="",L352=0),"",J352/L352)</f>
        <v/>
      </c>
      <c r="P352" s="6"/>
    </row>
    <row r="353" customFormat="false" ht="15" hidden="false" customHeight="false" outlineLevel="0" collapsed="false">
      <c r="A353" s="5"/>
      <c r="B353" s="6"/>
      <c r="C353" s="6"/>
      <c r="D353" s="6"/>
      <c r="E353" s="6"/>
      <c r="F353" s="6"/>
      <c r="G353" s="6"/>
      <c r="H353" s="6"/>
      <c r="I353" s="7"/>
      <c r="J353" s="8"/>
      <c r="K353" s="6"/>
      <c r="L353" s="9" t="str">
        <f aca="false">IF(OR(E353="",H353=""),"",E353*H353)</f>
        <v/>
      </c>
      <c r="M353" s="10" t="str">
        <f aca="false">IF(OR(J353="",H353="",H353=0),"",J353/H353)</f>
        <v/>
      </c>
      <c r="N353" s="10" t="str">
        <f aca="false">IF(OR(J353="",I353="",I353=0),"",J353/I353)</f>
        <v/>
      </c>
      <c r="O353" s="10" t="str">
        <f aca="false">IF(OR(J353="",L353="",L353=0),"",J353/L353)</f>
        <v/>
      </c>
      <c r="P353" s="6"/>
    </row>
    <row r="354" customFormat="false" ht="15" hidden="false" customHeight="false" outlineLevel="0" collapsed="false">
      <c r="A354" s="5"/>
      <c r="B354" s="6"/>
      <c r="C354" s="6"/>
      <c r="D354" s="6"/>
      <c r="E354" s="6"/>
      <c r="F354" s="6"/>
      <c r="G354" s="6"/>
      <c r="H354" s="6"/>
      <c r="I354" s="7"/>
      <c r="J354" s="8"/>
      <c r="K354" s="6"/>
      <c r="L354" s="9" t="str">
        <f aca="false">IF(OR(E354="",H354=""),"",E354*H354)</f>
        <v/>
      </c>
      <c r="M354" s="10" t="str">
        <f aca="false">IF(OR(J354="",H354="",H354=0),"",J354/H354)</f>
        <v/>
      </c>
      <c r="N354" s="10" t="str">
        <f aca="false">IF(OR(J354="",I354="",I354=0),"",J354/I354)</f>
        <v/>
      </c>
      <c r="O354" s="10" t="str">
        <f aca="false">IF(OR(J354="",L354="",L354=0),"",J354/L354)</f>
        <v/>
      </c>
      <c r="P354" s="6"/>
    </row>
    <row r="355" customFormat="false" ht="15" hidden="false" customHeight="false" outlineLevel="0" collapsed="false">
      <c r="A355" s="5"/>
      <c r="B355" s="6"/>
      <c r="C355" s="6"/>
      <c r="D355" s="6"/>
      <c r="E355" s="6"/>
      <c r="F355" s="6"/>
      <c r="G355" s="6"/>
      <c r="H355" s="6"/>
      <c r="I355" s="7"/>
      <c r="J355" s="8"/>
      <c r="K355" s="6"/>
      <c r="L355" s="9" t="str">
        <f aca="false">IF(OR(E355="",H355=""),"",E355*H355)</f>
        <v/>
      </c>
      <c r="M355" s="10" t="str">
        <f aca="false">IF(OR(J355="",H355="",H355=0),"",J355/H355)</f>
        <v/>
      </c>
      <c r="N355" s="10" t="str">
        <f aca="false">IF(OR(J355="",I355="",I355=0),"",J355/I355)</f>
        <v/>
      </c>
      <c r="O355" s="10" t="str">
        <f aca="false">IF(OR(J355="",L355="",L355=0),"",J355/L355)</f>
        <v/>
      </c>
      <c r="P355" s="6"/>
    </row>
    <row r="356" customFormat="false" ht="15" hidden="false" customHeight="false" outlineLevel="0" collapsed="false">
      <c r="A356" s="5"/>
      <c r="B356" s="6"/>
      <c r="C356" s="6"/>
      <c r="D356" s="6"/>
      <c r="E356" s="6"/>
      <c r="F356" s="6"/>
      <c r="G356" s="6"/>
      <c r="H356" s="6"/>
      <c r="I356" s="7"/>
      <c r="J356" s="8"/>
      <c r="K356" s="6"/>
      <c r="L356" s="9" t="str">
        <f aca="false">IF(OR(E356="",H356=""),"",E356*H356)</f>
        <v/>
      </c>
      <c r="M356" s="10" t="str">
        <f aca="false">IF(OR(J356="",H356="",H356=0),"",J356/H356)</f>
        <v/>
      </c>
      <c r="N356" s="10" t="str">
        <f aca="false">IF(OR(J356="",I356="",I356=0),"",J356/I356)</f>
        <v/>
      </c>
      <c r="O356" s="10" t="str">
        <f aca="false">IF(OR(J356="",L356="",L356=0),"",J356/L356)</f>
        <v/>
      </c>
      <c r="P356" s="6"/>
    </row>
    <row r="357" customFormat="false" ht="15" hidden="false" customHeight="false" outlineLevel="0" collapsed="false">
      <c r="A357" s="5"/>
      <c r="B357" s="6"/>
      <c r="C357" s="6"/>
      <c r="D357" s="6"/>
      <c r="E357" s="6"/>
      <c r="F357" s="6"/>
      <c r="G357" s="6"/>
      <c r="H357" s="6"/>
      <c r="I357" s="7"/>
      <c r="J357" s="8"/>
      <c r="K357" s="6"/>
      <c r="L357" s="9" t="str">
        <f aca="false">IF(OR(E357="",H357=""),"",E357*H357)</f>
        <v/>
      </c>
      <c r="M357" s="10" t="str">
        <f aca="false">IF(OR(J357="",H357="",H357=0),"",J357/H357)</f>
        <v/>
      </c>
      <c r="N357" s="10" t="str">
        <f aca="false">IF(OR(J357="",I357="",I357=0),"",J357/I357)</f>
        <v/>
      </c>
      <c r="O357" s="10" t="str">
        <f aca="false">IF(OR(J357="",L357="",L357=0),"",J357/L357)</f>
        <v/>
      </c>
      <c r="P357" s="6"/>
    </row>
    <row r="358" customFormat="false" ht="15" hidden="false" customHeight="false" outlineLevel="0" collapsed="false">
      <c r="A358" s="5"/>
      <c r="B358" s="6"/>
      <c r="C358" s="6"/>
      <c r="D358" s="6"/>
      <c r="E358" s="6"/>
      <c r="F358" s="6"/>
      <c r="G358" s="6"/>
      <c r="H358" s="6"/>
      <c r="I358" s="7"/>
      <c r="J358" s="8"/>
      <c r="K358" s="6"/>
      <c r="L358" s="9" t="str">
        <f aca="false">IF(OR(E358="",H358=""),"",E358*H358)</f>
        <v/>
      </c>
      <c r="M358" s="10" t="str">
        <f aca="false">IF(OR(J358="",H358="",H358=0),"",J358/H358)</f>
        <v/>
      </c>
      <c r="N358" s="10" t="str">
        <f aca="false">IF(OR(J358="",I358="",I358=0),"",J358/I358)</f>
        <v/>
      </c>
      <c r="O358" s="10" t="str">
        <f aca="false">IF(OR(J358="",L358="",L358=0),"",J358/L358)</f>
        <v/>
      </c>
      <c r="P358" s="6"/>
    </row>
    <row r="359" customFormat="false" ht="15" hidden="false" customHeight="false" outlineLevel="0" collapsed="false">
      <c r="A359" s="5"/>
      <c r="B359" s="6"/>
      <c r="C359" s="6"/>
      <c r="D359" s="6"/>
      <c r="E359" s="6"/>
      <c r="F359" s="6"/>
      <c r="G359" s="6"/>
      <c r="H359" s="6"/>
      <c r="I359" s="7"/>
      <c r="J359" s="8"/>
      <c r="K359" s="6"/>
      <c r="L359" s="9" t="str">
        <f aca="false">IF(OR(E359="",H359=""),"",E359*H359)</f>
        <v/>
      </c>
      <c r="M359" s="10" t="str">
        <f aca="false">IF(OR(J359="",H359="",H359=0),"",J359/H359)</f>
        <v/>
      </c>
      <c r="N359" s="10" t="str">
        <f aca="false">IF(OR(J359="",I359="",I359=0),"",J359/I359)</f>
        <v/>
      </c>
      <c r="O359" s="10" t="str">
        <f aca="false">IF(OR(J359="",L359="",L359=0),"",J359/L359)</f>
        <v/>
      </c>
      <c r="P359" s="6"/>
    </row>
    <row r="360" customFormat="false" ht="15" hidden="false" customHeight="false" outlineLevel="0" collapsed="false">
      <c r="A360" s="5"/>
      <c r="B360" s="6"/>
      <c r="C360" s="6"/>
      <c r="D360" s="6"/>
      <c r="E360" s="6"/>
      <c r="F360" s="6"/>
      <c r="G360" s="6"/>
      <c r="H360" s="6"/>
      <c r="I360" s="7"/>
      <c r="J360" s="8"/>
      <c r="K360" s="6"/>
      <c r="L360" s="9" t="str">
        <f aca="false">IF(OR(E360="",H360=""),"",E360*H360)</f>
        <v/>
      </c>
      <c r="M360" s="10" t="str">
        <f aca="false">IF(OR(J360="",H360="",H360=0),"",J360/H360)</f>
        <v/>
      </c>
      <c r="N360" s="10" t="str">
        <f aca="false">IF(OR(J360="",I360="",I360=0),"",J360/I360)</f>
        <v/>
      </c>
      <c r="O360" s="10" t="str">
        <f aca="false">IF(OR(J360="",L360="",L360=0),"",J360/L360)</f>
        <v/>
      </c>
      <c r="P360" s="6"/>
    </row>
    <row r="361" customFormat="false" ht="15" hidden="false" customHeight="false" outlineLevel="0" collapsed="false">
      <c r="A361" s="5"/>
      <c r="B361" s="6"/>
      <c r="C361" s="6"/>
      <c r="D361" s="6"/>
      <c r="E361" s="6"/>
      <c r="F361" s="6"/>
      <c r="G361" s="6"/>
      <c r="H361" s="6"/>
      <c r="I361" s="7"/>
      <c r="J361" s="8"/>
      <c r="K361" s="6"/>
      <c r="L361" s="9" t="str">
        <f aca="false">IF(OR(E361="",H361=""),"",E361*H361)</f>
        <v/>
      </c>
      <c r="M361" s="10" t="str">
        <f aca="false">IF(OR(J361="",H361="",H361=0),"",J361/H361)</f>
        <v/>
      </c>
      <c r="N361" s="10" t="str">
        <f aca="false">IF(OR(J361="",I361="",I361=0),"",J361/I361)</f>
        <v/>
      </c>
      <c r="O361" s="10" t="str">
        <f aca="false">IF(OR(J361="",L361="",L361=0),"",J361/L361)</f>
        <v/>
      </c>
      <c r="P361" s="6"/>
    </row>
    <row r="362" customFormat="false" ht="15" hidden="false" customHeight="false" outlineLevel="0" collapsed="false">
      <c r="A362" s="5"/>
      <c r="B362" s="6"/>
      <c r="C362" s="6"/>
      <c r="D362" s="6"/>
      <c r="E362" s="6"/>
      <c r="F362" s="6"/>
      <c r="G362" s="6"/>
      <c r="H362" s="6"/>
      <c r="I362" s="7"/>
      <c r="J362" s="8"/>
      <c r="K362" s="6"/>
      <c r="L362" s="9" t="str">
        <f aca="false">IF(OR(E362="",H362=""),"",E362*H362)</f>
        <v/>
      </c>
      <c r="M362" s="10" t="str">
        <f aca="false">IF(OR(J362="",H362="",H362=0),"",J362/H362)</f>
        <v/>
      </c>
      <c r="N362" s="10" t="str">
        <f aca="false">IF(OR(J362="",I362="",I362=0),"",J362/I362)</f>
        <v/>
      </c>
      <c r="O362" s="10" t="str">
        <f aca="false">IF(OR(J362="",L362="",L362=0),"",J362/L362)</f>
        <v/>
      </c>
      <c r="P362" s="6"/>
    </row>
    <row r="363" customFormat="false" ht="15" hidden="false" customHeight="false" outlineLevel="0" collapsed="false">
      <c r="A363" s="5"/>
      <c r="B363" s="6"/>
      <c r="C363" s="6"/>
      <c r="D363" s="6"/>
      <c r="E363" s="6"/>
      <c r="F363" s="6"/>
      <c r="G363" s="6"/>
      <c r="H363" s="6"/>
      <c r="I363" s="7"/>
      <c r="J363" s="8"/>
      <c r="K363" s="6"/>
      <c r="L363" s="9" t="str">
        <f aca="false">IF(OR(E363="",H363=""),"",E363*H363)</f>
        <v/>
      </c>
      <c r="M363" s="10" t="str">
        <f aca="false">IF(OR(J363="",H363="",H363=0),"",J363/H363)</f>
        <v/>
      </c>
      <c r="N363" s="10" t="str">
        <f aca="false">IF(OR(J363="",I363="",I363=0),"",J363/I363)</f>
        <v/>
      </c>
      <c r="O363" s="10" t="str">
        <f aca="false">IF(OR(J363="",L363="",L363=0),"",J363/L363)</f>
        <v/>
      </c>
      <c r="P363" s="6"/>
    </row>
    <row r="364" customFormat="false" ht="15" hidden="false" customHeight="false" outlineLevel="0" collapsed="false">
      <c r="A364" s="5"/>
      <c r="B364" s="6"/>
      <c r="C364" s="6"/>
      <c r="D364" s="6"/>
      <c r="E364" s="6"/>
      <c r="F364" s="6"/>
      <c r="G364" s="6"/>
      <c r="H364" s="6"/>
      <c r="I364" s="7"/>
      <c r="J364" s="8"/>
      <c r="K364" s="6"/>
      <c r="L364" s="9" t="str">
        <f aca="false">IF(OR(E364="",H364=""),"",E364*H364)</f>
        <v/>
      </c>
      <c r="M364" s="10" t="str">
        <f aca="false">IF(OR(J364="",H364="",H364=0),"",J364/H364)</f>
        <v/>
      </c>
      <c r="N364" s="10" t="str">
        <f aca="false">IF(OR(J364="",I364="",I364=0),"",J364/I364)</f>
        <v/>
      </c>
      <c r="O364" s="10" t="str">
        <f aca="false">IF(OR(J364="",L364="",L364=0),"",J364/L364)</f>
        <v/>
      </c>
      <c r="P364" s="6"/>
    </row>
    <row r="365" customFormat="false" ht="15" hidden="false" customHeight="false" outlineLevel="0" collapsed="false">
      <c r="A365" s="5"/>
      <c r="B365" s="6"/>
      <c r="C365" s="6"/>
      <c r="D365" s="6"/>
      <c r="E365" s="6"/>
      <c r="F365" s="6"/>
      <c r="G365" s="6"/>
      <c r="H365" s="6"/>
      <c r="I365" s="7"/>
      <c r="J365" s="8"/>
      <c r="K365" s="6"/>
      <c r="L365" s="9" t="str">
        <f aca="false">IF(OR(E365="",H365=""),"",E365*H365)</f>
        <v/>
      </c>
      <c r="M365" s="10" t="str">
        <f aca="false">IF(OR(J365="",H365="",H365=0),"",J365/H365)</f>
        <v/>
      </c>
      <c r="N365" s="10" t="str">
        <f aca="false">IF(OR(J365="",I365="",I365=0),"",J365/I365)</f>
        <v/>
      </c>
      <c r="O365" s="10" t="str">
        <f aca="false">IF(OR(J365="",L365="",L365=0),"",J365/L365)</f>
        <v/>
      </c>
      <c r="P365" s="6"/>
    </row>
    <row r="366" customFormat="false" ht="15" hidden="false" customHeight="false" outlineLevel="0" collapsed="false">
      <c r="A366" s="5"/>
      <c r="B366" s="6"/>
      <c r="C366" s="6"/>
      <c r="D366" s="6"/>
      <c r="E366" s="6"/>
      <c r="F366" s="6"/>
      <c r="G366" s="6"/>
      <c r="H366" s="6"/>
      <c r="I366" s="7"/>
      <c r="J366" s="8"/>
      <c r="K366" s="6"/>
      <c r="L366" s="9" t="str">
        <f aca="false">IF(OR(E366="",H366=""),"",E366*H366)</f>
        <v/>
      </c>
      <c r="M366" s="10" t="str">
        <f aca="false">IF(OR(J366="",H366="",H366=0),"",J366/H366)</f>
        <v/>
      </c>
      <c r="N366" s="10" t="str">
        <f aca="false">IF(OR(J366="",I366="",I366=0),"",J366/I366)</f>
        <v/>
      </c>
      <c r="O366" s="10" t="str">
        <f aca="false">IF(OR(J366="",L366="",L366=0),"",J366/L366)</f>
        <v/>
      </c>
      <c r="P366" s="6"/>
    </row>
    <row r="367" customFormat="false" ht="15" hidden="false" customHeight="false" outlineLevel="0" collapsed="false">
      <c r="A367" s="5"/>
      <c r="B367" s="6"/>
      <c r="C367" s="6"/>
      <c r="D367" s="6"/>
      <c r="E367" s="6"/>
      <c r="F367" s="6"/>
      <c r="G367" s="6"/>
      <c r="H367" s="6"/>
      <c r="I367" s="7"/>
      <c r="J367" s="8"/>
      <c r="K367" s="6"/>
      <c r="L367" s="9" t="str">
        <f aca="false">IF(OR(E367="",H367=""),"",E367*H367)</f>
        <v/>
      </c>
      <c r="M367" s="10" t="str">
        <f aca="false">IF(OR(J367="",H367="",H367=0),"",J367/H367)</f>
        <v/>
      </c>
      <c r="N367" s="10" t="str">
        <f aca="false">IF(OR(J367="",I367="",I367=0),"",J367/I367)</f>
        <v/>
      </c>
      <c r="O367" s="10" t="str">
        <f aca="false">IF(OR(J367="",L367="",L367=0),"",J367/L367)</f>
        <v/>
      </c>
      <c r="P367" s="6"/>
    </row>
    <row r="368" customFormat="false" ht="15" hidden="false" customHeight="false" outlineLevel="0" collapsed="false">
      <c r="A368" s="5"/>
      <c r="B368" s="6"/>
      <c r="C368" s="6"/>
      <c r="D368" s="6"/>
      <c r="E368" s="6"/>
      <c r="F368" s="6"/>
      <c r="G368" s="6"/>
      <c r="H368" s="6"/>
      <c r="I368" s="7"/>
      <c r="J368" s="8"/>
      <c r="K368" s="6"/>
      <c r="L368" s="9" t="str">
        <f aca="false">IF(OR(E368="",H368=""),"",E368*H368)</f>
        <v/>
      </c>
      <c r="M368" s="10" t="str">
        <f aca="false">IF(OR(J368="",H368="",H368=0),"",J368/H368)</f>
        <v/>
      </c>
      <c r="N368" s="10" t="str">
        <f aca="false">IF(OR(J368="",I368="",I368=0),"",J368/I368)</f>
        <v/>
      </c>
      <c r="O368" s="10" t="str">
        <f aca="false">IF(OR(J368="",L368="",L368=0),"",J368/L368)</f>
        <v/>
      </c>
      <c r="P368" s="6"/>
    </row>
    <row r="369" customFormat="false" ht="15" hidden="false" customHeight="false" outlineLevel="0" collapsed="false">
      <c r="A369" s="5"/>
      <c r="B369" s="6"/>
      <c r="C369" s="6"/>
      <c r="D369" s="6"/>
      <c r="E369" s="6"/>
      <c r="F369" s="6"/>
      <c r="G369" s="6"/>
      <c r="H369" s="6"/>
      <c r="I369" s="7"/>
      <c r="J369" s="8"/>
      <c r="K369" s="6"/>
      <c r="L369" s="9" t="str">
        <f aca="false">IF(OR(E369="",H369=""),"",E369*H369)</f>
        <v/>
      </c>
      <c r="M369" s="10" t="str">
        <f aca="false">IF(OR(J369="",H369="",H369=0),"",J369/H369)</f>
        <v/>
      </c>
      <c r="N369" s="10" t="str">
        <f aca="false">IF(OR(J369="",I369="",I369=0),"",J369/I369)</f>
        <v/>
      </c>
      <c r="O369" s="10" t="str">
        <f aca="false">IF(OR(J369="",L369="",L369=0),"",J369/L369)</f>
        <v/>
      </c>
      <c r="P369" s="6"/>
    </row>
    <row r="370" customFormat="false" ht="15" hidden="false" customHeight="false" outlineLevel="0" collapsed="false">
      <c r="A370" s="5"/>
      <c r="B370" s="6"/>
      <c r="C370" s="6"/>
      <c r="D370" s="6"/>
      <c r="E370" s="6"/>
      <c r="F370" s="6"/>
      <c r="G370" s="6"/>
      <c r="H370" s="6"/>
      <c r="I370" s="7"/>
      <c r="J370" s="8"/>
      <c r="K370" s="6"/>
      <c r="L370" s="9" t="str">
        <f aca="false">IF(OR(E370="",H370=""),"",E370*H370)</f>
        <v/>
      </c>
      <c r="M370" s="10" t="str">
        <f aca="false">IF(OR(J370="",H370="",H370=0),"",J370/H370)</f>
        <v/>
      </c>
      <c r="N370" s="10" t="str">
        <f aca="false">IF(OR(J370="",I370="",I370=0),"",J370/I370)</f>
        <v/>
      </c>
      <c r="O370" s="10" t="str">
        <f aca="false">IF(OR(J370="",L370="",L370=0),"",J370/L370)</f>
        <v/>
      </c>
      <c r="P370" s="6"/>
    </row>
    <row r="371" customFormat="false" ht="15" hidden="false" customHeight="false" outlineLevel="0" collapsed="false">
      <c r="A371" s="5"/>
      <c r="B371" s="6"/>
      <c r="C371" s="6"/>
      <c r="D371" s="6"/>
      <c r="E371" s="6"/>
      <c r="F371" s="6"/>
      <c r="G371" s="6"/>
      <c r="H371" s="6"/>
      <c r="I371" s="7"/>
      <c r="J371" s="8"/>
      <c r="K371" s="6"/>
      <c r="L371" s="9" t="str">
        <f aca="false">IF(OR(E371="",H371=""),"",E371*H371)</f>
        <v/>
      </c>
      <c r="M371" s="10" t="str">
        <f aca="false">IF(OR(J371="",H371="",H371=0),"",J371/H371)</f>
        <v/>
      </c>
      <c r="N371" s="10" t="str">
        <f aca="false">IF(OR(J371="",I371="",I371=0),"",J371/I371)</f>
        <v/>
      </c>
      <c r="O371" s="10" t="str">
        <f aca="false">IF(OR(J371="",L371="",L371=0),"",J371/L371)</f>
        <v/>
      </c>
      <c r="P371" s="6"/>
    </row>
    <row r="372" customFormat="false" ht="15" hidden="false" customHeight="false" outlineLevel="0" collapsed="false">
      <c r="A372" s="5"/>
      <c r="B372" s="6"/>
      <c r="C372" s="6"/>
      <c r="D372" s="6"/>
      <c r="E372" s="6"/>
      <c r="F372" s="6"/>
      <c r="G372" s="6"/>
      <c r="H372" s="6"/>
      <c r="I372" s="7"/>
      <c r="J372" s="8"/>
      <c r="K372" s="6"/>
      <c r="L372" s="9" t="str">
        <f aca="false">IF(OR(E372="",H372=""),"",E372*H372)</f>
        <v/>
      </c>
      <c r="M372" s="10" t="str">
        <f aca="false">IF(OR(J372="",H372="",H372=0),"",J372/H372)</f>
        <v/>
      </c>
      <c r="N372" s="10" t="str">
        <f aca="false">IF(OR(J372="",I372="",I372=0),"",J372/I372)</f>
        <v/>
      </c>
      <c r="O372" s="10" t="str">
        <f aca="false">IF(OR(J372="",L372="",L372=0),"",J372/L372)</f>
        <v/>
      </c>
      <c r="P372" s="6"/>
    </row>
    <row r="373" customFormat="false" ht="15" hidden="false" customHeight="false" outlineLevel="0" collapsed="false">
      <c r="A373" s="5"/>
      <c r="B373" s="6"/>
      <c r="C373" s="6"/>
      <c r="D373" s="6"/>
      <c r="E373" s="6"/>
      <c r="F373" s="6"/>
      <c r="G373" s="6"/>
      <c r="H373" s="6"/>
      <c r="I373" s="7"/>
      <c r="J373" s="8"/>
      <c r="K373" s="6"/>
      <c r="L373" s="9" t="str">
        <f aca="false">IF(OR(E373="",H373=""),"",E373*H373)</f>
        <v/>
      </c>
      <c r="M373" s="10" t="str">
        <f aca="false">IF(OR(J373="",H373="",H373=0),"",J373/H373)</f>
        <v/>
      </c>
      <c r="N373" s="10" t="str">
        <f aca="false">IF(OR(J373="",I373="",I373=0),"",J373/I373)</f>
        <v/>
      </c>
      <c r="O373" s="10" t="str">
        <f aca="false">IF(OR(J373="",L373="",L373=0),"",J373/L373)</f>
        <v/>
      </c>
      <c r="P373" s="6"/>
    </row>
    <row r="374" customFormat="false" ht="15" hidden="false" customHeight="false" outlineLevel="0" collapsed="false">
      <c r="A374" s="5"/>
      <c r="B374" s="6"/>
      <c r="C374" s="6"/>
      <c r="D374" s="6"/>
      <c r="E374" s="6"/>
      <c r="F374" s="6"/>
      <c r="G374" s="6"/>
      <c r="H374" s="6"/>
      <c r="I374" s="7"/>
      <c r="J374" s="8"/>
      <c r="K374" s="6"/>
      <c r="L374" s="9" t="str">
        <f aca="false">IF(OR(E374="",H374=""),"",E374*H374)</f>
        <v/>
      </c>
      <c r="M374" s="10" t="str">
        <f aca="false">IF(OR(J374="",H374="",H374=0),"",J374/H374)</f>
        <v/>
      </c>
      <c r="N374" s="10" t="str">
        <f aca="false">IF(OR(J374="",I374="",I374=0),"",J374/I374)</f>
        <v/>
      </c>
      <c r="O374" s="10" t="str">
        <f aca="false">IF(OR(J374="",L374="",L374=0),"",J374/L374)</f>
        <v/>
      </c>
      <c r="P374" s="6"/>
    </row>
    <row r="375" customFormat="false" ht="15" hidden="false" customHeight="false" outlineLevel="0" collapsed="false">
      <c r="A375" s="5"/>
      <c r="B375" s="6"/>
      <c r="C375" s="6"/>
      <c r="D375" s="6"/>
      <c r="E375" s="6"/>
      <c r="F375" s="6"/>
      <c r="G375" s="6"/>
      <c r="H375" s="6"/>
      <c r="I375" s="7"/>
      <c r="J375" s="8"/>
      <c r="K375" s="6"/>
      <c r="L375" s="9" t="str">
        <f aca="false">IF(OR(E375="",H375=""),"",E375*H375)</f>
        <v/>
      </c>
      <c r="M375" s="10" t="str">
        <f aca="false">IF(OR(J375="",H375="",H375=0),"",J375/H375)</f>
        <v/>
      </c>
      <c r="N375" s="10" t="str">
        <f aca="false">IF(OR(J375="",I375="",I375=0),"",J375/I375)</f>
        <v/>
      </c>
      <c r="O375" s="10" t="str">
        <f aca="false">IF(OR(J375="",L375="",L375=0),"",J375/L375)</f>
        <v/>
      </c>
      <c r="P375" s="6"/>
    </row>
    <row r="376" customFormat="false" ht="15" hidden="false" customHeight="false" outlineLevel="0" collapsed="false">
      <c r="A376" s="5"/>
      <c r="B376" s="6"/>
      <c r="C376" s="6"/>
      <c r="D376" s="6"/>
      <c r="E376" s="6"/>
      <c r="F376" s="6"/>
      <c r="G376" s="6"/>
      <c r="H376" s="6"/>
      <c r="I376" s="7"/>
      <c r="J376" s="8"/>
      <c r="K376" s="6"/>
      <c r="L376" s="9" t="str">
        <f aca="false">IF(OR(E376="",H376=""),"",E376*H376)</f>
        <v/>
      </c>
      <c r="M376" s="10" t="str">
        <f aca="false">IF(OR(J376="",H376="",H376=0),"",J376/H376)</f>
        <v/>
      </c>
      <c r="N376" s="10" t="str">
        <f aca="false">IF(OR(J376="",I376="",I376=0),"",J376/I376)</f>
        <v/>
      </c>
      <c r="O376" s="10" t="str">
        <f aca="false">IF(OR(J376="",L376="",L376=0),"",J376/L376)</f>
        <v/>
      </c>
      <c r="P376" s="6"/>
    </row>
    <row r="377" customFormat="false" ht="15" hidden="false" customHeight="false" outlineLevel="0" collapsed="false">
      <c r="A377" s="5"/>
      <c r="B377" s="6"/>
      <c r="C377" s="6"/>
      <c r="D377" s="6"/>
      <c r="E377" s="6"/>
      <c r="F377" s="6"/>
      <c r="G377" s="6"/>
      <c r="H377" s="6"/>
      <c r="I377" s="7"/>
      <c r="J377" s="8"/>
      <c r="K377" s="6"/>
      <c r="L377" s="9" t="str">
        <f aca="false">IF(OR(E377="",H377=""),"",E377*H377)</f>
        <v/>
      </c>
      <c r="M377" s="10" t="str">
        <f aca="false">IF(OR(J377="",H377="",H377=0),"",J377/H377)</f>
        <v/>
      </c>
      <c r="N377" s="10" t="str">
        <f aca="false">IF(OR(J377="",I377="",I377=0),"",J377/I377)</f>
        <v/>
      </c>
      <c r="O377" s="10" t="str">
        <f aca="false">IF(OR(J377="",L377="",L377=0),"",J377/L377)</f>
        <v/>
      </c>
      <c r="P377" s="6"/>
    </row>
    <row r="378" customFormat="false" ht="15" hidden="false" customHeight="false" outlineLevel="0" collapsed="false">
      <c r="A378" s="5"/>
      <c r="B378" s="6"/>
      <c r="C378" s="6"/>
      <c r="D378" s="6"/>
      <c r="E378" s="6"/>
      <c r="F378" s="6"/>
      <c r="G378" s="6"/>
      <c r="H378" s="6"/>
      <c r="I378" s="7"/>
      <c r="J378" s="8"/>
      <c r="K378" s="6"/>
      <c r="L378" s="9" t="str">
        <f aca="false">IF(OR(E378="",H378=""),"",E378*H378)</f>
        <v/>
      </c>
      <c r="M378" s="10" t="str">
        <f aca="false">IF(OR(J378="",H378="",H378=0),"",J378/H378)</f>
        <v/>
      </c>
      <c r="N378" s="10" t="str">
        <f aca="false">IF(OR(J378="",I378="",I378=0),"",J378/I378)</f>
        <v/>
      </c>
      <c r="O378" s="10" t="str">
        <f aca="false">IF(OR(J378="",L378="",L378=0),"",J378/L378)</f>
        <v/>
      </c>
      <c r="P378" s="6"/>
    </row>
    <row r="379" customFormat="false" ht="15" hidden="false" customHeight="false" outlineLevel="0" collapsed="false">
      <c r="A379" s="5"/>
      <c r="B379" s="6"/>
      <c r="C379" s="6"/>
      <c r="D379" s="6"/>
      <c r="E379" s="6"/>
      <c r="F379" s="6"/>
      <c r="G379" s="6"/>
      <c r="H379" s="6"/>
      <c r="I379" s="7"/>
      <c r="J379" s="8"/>
      <c r="K379" s="6"/>
      <c r="L379" s="9" t="str">
        <f aca="false">IF(OR(E379="",H379=""),"",E379*H379)</f>
        <v/>
      </c>
      <c r="M379" s="10" t="str">
        <f aca="false">IF(OR(J379="",H379="",H379=0),"",J379/H379)</f>
        <v/>
      </c>
      <c r="N379" s="10" t="str">
        <f aca="false">IF(OR(J379="",I379="",I379=0),"",J379/I379)</f>
        <v/>
      </c>
      <c r="O379" s="10" t="str">
        <f aca="false">IF(OR(J379="",L379="",L379=0),"",J379/L379)</f>
        <v/>
      </c>
      <c r="P379" s="6"/>
    </row>
    <row r="380" customFormat="false" ht="15" hidden="false" customHeight="false" outlineLevel="0" collapsed="false">
      <c r="A380" s="5"/>
      <c r="B380" s="6"/>
      <c r="C380" s="6"/>
      <c r="D380" s="6"/>
      <c r="E380" s="6"/>
      <c r="F380" s="6"/>
      <c r="G380" s="6"/>
      <c r="H380" s="6"/>
      <c r="I380" s="7"/>
      <c r="J380" s="8"/>
      <c r="K380" s="6"/>
      <c r="L380" s="9" t="str">
        <f aca="false">IF(OR(E380="",H380=""),"",E380*H380)</f>
        <v/>
      </c>
      <c r="M380" s="10" t="str">
        <f aca="false">IF(OR(J380="",H380="",H380=0),"",J380/H380)</f>
        <v/>
      </c>
      <c r="N380" s="10" t="str">
        <f aca="false">IF(OR(J380="",I380="",I380=0),"",J380/I380)</f>
        <v/>
      </c>
      <c r="O380" s="10" t="str">
        <f aca="false">IF(OR(J380="",L380="",L380=0),"",J380/L380)</f>
        <v/>
      </c>
      <c r="P380" s="6"/>
    </row>
    <row r="381" customFormat="false" ht="15" hidden="false" customHeight="false" outlineLevel="0" collapsed="false">
      <c r="A381" s="5"/>
      <c r="B381" s="6"/>
      <c r="C381" s="6"/>
      <c r="D381" s="6"/>
      <c r="E381" s="6"/>
      <c r="F381" s="6"/>
      <c r="G381" s="6"/>
      <c r="H381" s="6"/>
      <c r="I381" s="7"/>
      <c r="J381" s="8"/>
      <c r="K381" s="6"/>
      <c r="L381" s="9" t="str">
        <f aca="false">IF(OR(E381="",H381=""),"",E381*H381)</f>
        <v/>
      </c>
      <c r="M381" s="10" t="str">
        <f aca="false">IF(OR(J381="",H381="",H381=0),"",J381/H381)</f>
        <v/>
      </c>
      <c r="N381" s="10" t="str">
        <f aca="false">IF(OR(J381="",I381="",I381=0),"",J381/I381)</f>
        <v/>
      </c>
      <c r="O381" s="10" t="str">
        <f aca="false">IF(OR(J381="",L381="",L381=0),"",J381/L381)</f>
        <v/>
      </c>
      <c r="P381" s="6"/>
    </row>
    <row r="382" customFormat="false" ht="15" hidden="false" customHeight="false" outlineLevel="0" collapsed="false">
      <c r="A382" s="5"/>
      <c r="B382" s="6"/>
      <c r="C382" s="6"/>
      <c r="D382" s="6"/>
      <c r="E382" s="6"/>
      <c r="F382" s="6"/>
      <c r="G382" s="6"/>
      <c r="H382" s="6"/>
      <c r="I382" s="7"/>
      <c r="J382" s="8"/>
      <c r="K382" s="6"/>
      <c r="L382" s="9" t="str">
        <f aca="false">IF(OR(E382="",H382=""),"",E382*H382)</f>
        <v/>
      </c>
      <c r="M382" s="10" t="str">
        <f aca="false">IF(OR(J382="",H382="",H382=0),"",J382/H382)</f>
        <v/>
      </c>
      <c r="N382" s="10" t="str">
        <f aca="false">IF(OR(J382="",I382="",I382=0),"",J382/I382)</f>
        <v/>
      </c>
      <c r="O382" s="10" t="str">
        <f aca="false">IF(OR(J382="",L382="",L382=0),"",J382/L382)</f>
        <v/>
      </c>
      <c r="P382" s="6"/>
    </row>
    <row r="383" customFormat="false" ht="15" hidden="false" customHeight="false" outlineLevel="0" collapsed="false">
      <c r="A383" s="5"/>
      <c r="B383" s="6"/>
      <c r="C383" s="6"/>
      <c r="D383" s="6"/>
      <c r="E383" s="6"/>
      <c r="F383" s="6"/>
      <c r="G383" s="6"/>
      <c r="H383" s="6"/>
      <c r="I383" s="7"/>
      <c r="J383" s="8"/>
      <c r="K383" s="6"/>
      <c r="L383" s="9" t="str">
        <f aca="false">IF(OR(E383="",H383=""),"",E383*H383)</f>
        <v/>
      </c>
      <c r="M383" s="10" t="str">
        <f aca="false">IF(OR(J383="",H383="",H383=0),"",J383/H383)</f>
        <v/>
      </c>
      <c r="N383" s="10" t="str">
        <f aca="false">IF(OR(J383="",I383="",I383=0),"",J383/I383)</f>
        <v/>
      </c>
      <c r="O383" s="10" t="str">
        <f aca="false">IF(OR(J383="",L383="",L383=0),"",J383/L383)</f>
        <v/>
      </c>
      <c r="P383" s="6"/>
    </row>
    <row r="384" customFormat="false" ht="15" hidden="false" customHeight="false" outlineLevel="0" collapsed="false">
      <c r="A384" s="5"/>
      <c r="B384" s="6"/>
      <c r="C384" s="6"/>
      <c r="D384" s="6"/>
      <c r="E384" s="6"/>
      <c r="F384" s="6"/>
      <c r="G384" s="6"/>
      <c r="H384" s="6"/>
      <c r="I384" s="7"/>
      <c r="J384" s="8"/>
      <c r="K384" s="6"/>
      <c r="L384" s="9" t="str">
        <f aca="false">IF(OR(E384="",H384=""),"",E384*H384)</f>
        <v/>
      </c>
      <c r="M384" s="10" t="str">
        <f aca="false">IF(OR(J384="",H384="",H384=0),"",J384/H384)</f>
        <v/>
      </c>
      <c r="N384" s="10" t="str">
        <f aca="false">IF(OR(J384="",I384="",I384=0),"",J384/I384)</f>
        <v/>
      </c>
      <c r="O384" s="10" t="str">
        <f aca="false">IF(OR(J384="",L384="",L384=0),"",J384/L384)</f>
        <v/>
      </c>
      <c r="P384" s="6"/>
    </row>
    <row r="385" customFormat="false" ht="15" hidden="false" customHeight="false" outlineLevel="0" collapsed="false">
      <c r="A385" s="5"/>
      <c r="B385" s="6"/>
      <c r="C385" s="6"/>
      <c r="D385" s="6"/>
      <c r="E385" s="6"/>
      <c r="F385" s="6"/>
      <c r="G385" s="6"/>
      <c r="H385" s="6"/>
      <c r="I385" s="7"/>
      <c r="J385" s="8"/>
      <c r="K385" s="6"/>
      <c r="L385" s="9" t="str">
        <f aca="false">IF(OR(E385="",H385=""),"",E385*H385)</f>
        <v/>
      </c>
      <c r="M385" s="10" t="str">
        <f aca="false">IF(OR(J385="",H385="",H385=0),"",J385/H385)</f>
        <v/>
      </c>
      <c r="N385" s="10" t="str">
        <f aca="false">IF(OR(J385="",I385="",I385=0),"",J385/I385)</f>
        <v/>
      </c>
      <c r="O385" s="10" t="str">
        <f aca="false">IF(OR(J385="",L385="",L385=0),"",J385/L385)</f>
        <v/>
      </c>
      <c r="P385" s="6"/>
    </row>
    <row r="386" customFormat="false" ht="15" hidden="false" customHeight="false" outlineLevel="0" collapsed="false">
      <c r="A386" s="5"/>
      <c r="B386" s="6"/>
      <c r="C386" s="6"/>
      <c r="D386" s="6"/>
      <c r="E386" s="6"/>
      <c r="F386" s="6"/>
      <c r="G386" s="6"/>
      <c r="H386" s="6"/>
      <c r="I386" s="7"/>
      <c r="J386" s="8"/>
      <c r="K386" s="6"/>
      <c r="L386" s="9" t="str">
        <f aca="false">IF(OR(E386="",H386=""),"",E386*H386)</f>
        <v/>
      </c>
      <c r="M386" s="10" t="str">
        <f aca="false">IF(OR(J386="",H386="",H386=0),"",J386/H386)</f>
        <v/>
      </c>
      <c r="N386" s="10" t="str">
        <f aca="false">IF(OR(J386="",I386="",I386=0),"",J386/I386)</f>
        <v/>
      </c>
      <c r="O386" s="10" t="str">
        <f aca="false">IF(OR(J386="",L386="",L386=0),"",J386/L386)</f>
        <v/>
      </c>
      <c r="P386" s="6"/>
    </row>
    <row r="387" customFormat="false" ht="15" hidden="false" customHeight="false" outlineLevel="0" collapsed="false">
      <c r="A387" s="5"/>
      <c r="B387" s="6"/>
      <c r="C387" s="6"/>
      <c r="D387" s="6"/>
      <c r="E387" s="6"/>
      <c r="F387" s="6"/>
      <c r="G387" s="6"/>
      <c r="H387" s="6"/>
      <c r="I387" s="7"/>
      <c r="J387" s="8"/>
      <c r="K387" s="6"/>
      <c r="L387" s="9" t="str">
        <f aca="false">IF(OR(E387="",H387=""),"",E387*H387)</f>
        <v/>
      </c>
      <c r="M387" s="10" t="str">
        <f aca="false">IF(OR(J387="",H387="",H387=0),"",J387/H387)</f>
        <v/>
      </c>
      <c r="N387" s="10" t="str">
        <f aca="false">IF(OR(J387="",I387="",I387=0),"",J387/I387)</f>
        <v/>
      </c>
      <c r="O387" s="10" t="str">
        <f aca="false">IF(OR(J387="",L387="",L387=0),"",J387/L387)</f>
        <v/>
      </c>
      <c r="P387" s="6"/>
    </row>
    <row r="388" customFormat="false" ht="15" hidden="false" customHeight="false" outlineLevel="0" collapsed="false">
      <c r="A388" s="5"/>
      <c r="B388" s="6"/>
      <c r="C388" s="6"/>
      <c r="D388" s="6"/>
      <c r="E388" s="6"/>
      <c r="F388" s="6"/>
      <c r="G388" s="6"/>
      <c r="H388" s="6"/>
      <c r="I388" s="7"/>
      <c r="J388" s="8"/>
      <c r="K388" s="6"/>
      <c r="L388" s="9" t="str">
        <f aca="false">IF(OR(E388="",H388=""),"",E388*H388)</f>
        <v/>
      </c>
      <c r="M388" s="10" t="str">
        <f aca="false">IF(OR(J388="",H388="",H388=0),"",J388/H388)</f>
        <v/>
      </c>
      <c r="N388" s="10" t="str">
        <f aca="false">IF(OR(J388="",I388="",I388=0),"",J388/I388)</f>
        <v/>
      </c>
      <c r="O388" s="10" t="str">
        <f aca="false">IF(OR(J388="",L388="",L388=0),"",J388/L388)</f>
        <v/>
      </c>
      <c r="P388" s="6"/>
    </row>
    <row r="389" customFormat="false" ht="15" hidden="false" customHeight="false" outlineLevel="0" collapsed="false">
      <c r="A389" s="5"/>
      <c r="B389" s="6"/>
      <c r="C389" s="6"/>
      <c r="D389" s="6"/>
      <c r="E389" s="6"/>
      <c r="F389" s="6"/>
      <c r="G389" s="6"/>
      <c r="H389" s="6"/>
      <c r="I389" s="7"/>
      <c r="J389" s="8"/>
      <c r="K389" s="6"/>
      <c r="L389" s="9" t="str">
        <f aca="false">IF(OR(E389="",H389=""),"",E389*H389)</f>
        <v/>
      </c>
      <c r="M389" s="10" t="str">
        <f aca="false">IF(OR(J389="",H389="",H389=0),"",J389/H389)</f>
        <v/>
      </c>
      <c r="N389" s="10" t="str">
        <f aca="false">IF(OR(J389="",I389="",I389=0),"",J389/I389)</f>
        <v/>
      </c>
      <c r="O389" s="10" t="str">
        <f aca="false">IF(OR(J389="",L389="",L389=0),"",J389/L389)</f>
        <v/>
      </c>
      <c r="P389" s="6"/>
    </row>
    <row r="390" customFormat="false" ht="15" hidden="false" customHeight="false" outlineLevel="0" collapsed="false">
      <c r="A390" s="5"/>
      <c r="B390" s="6"/>
      <c r="C390" s="6"/>
      <c r="D390" s="6"/>
      <c r="E390" s="6"/>
      <c r="F390" s="6"/>
      <c r="G390" s="6"/>
      <c r="H390" s="6"/>
      <c r="I390" s="7"/>
      <c r="J390" s="8"/>
      <c r="K390" s="6"/>
      <c r="L390" s="9" t="str">
        <f aca="false">IF(OR(E390="",H390=""),"",E390*H390)</f>
        <v/>
      </c>
      <c r="M390" s="10" t="str">
        <f aca="false">IF(OR(J390="",H390="",H390=0),"",J390/H390)</f>
        <v/>
      </c>
      <c r="N390" s="10" t="str">
        <f aca="false">IF(OR(J390="",I390="",I390=0),"",J390/I390)</f>
        <v/>
      </c>
      <c r="O390" s="10" t="str">
        <f aca="false">IF(OR(J390="",L390="",L390=0),"",J390/L390)</f>
        <v/>
      </c>
      <c r="P390" s="6"/>
    </row>
    <row r="391" customFormat="false" ht="15" hidden="false" customHeight="false" outlineLevel="0" collapsed="false">
      <c r="A391" s="5"/>
      <c r="B391" s="6"/>
      <c r="C391" s="6"/>
      <c r="D391" s="6"/>
      <c r="E391" s="6"/>
      <c r="F391" s="6"/>
      <c r="G391" s="6"/>
      <c r="H391" s="6"/>
      <c r="I391" s="7"/>
      <c r="J391" s="8"/>
      <c r="K391" s="6"/>
      <c r="L391" s="9" t="str">
        <f aca="false">IF(OR(E391="",H391=""),"",E391*H391)</f>
        <v/>
      </c>
      <c r="M391" s="10" t="str">
        <f aca="false">IF(OR(J391="",H391="",H391=0),"",J391/H391)</f>
        <v/>
      </c>
      <c r="N391" s="10" t="str">
        <f aca="false">IF(OR(J391="",I391="",I391=0),"",J391/I391)</f>
        <v/>
      </c>
      <c r="O391" s="10" t="str">
        <f aca="false">IF(OR(J391="",L391="",L391=0),"",J391/L391)</f>
        <v/>
      </c>
      <c r="P391" s="6"/>
    </row>
    <row r="392" customFormat="false" ht="15" hidden="false" customHeight="false" outlineLevel="0" collapsed="false">
      <c r="A392" s="5"/>
      <c r="B392" s="6"/>
      <c r="C392" s="6"/>
      <c r="D392" s="6"/>
      <c r="E392" s="6"/>
      <c r="F392" s="6"/>
      <c r="G392" s="6"/>
      <c r="H392" s="6"/>
      <c r="I392" s="7"/>
      <c r="J392" s="8"/>
      <c r="K392" s="6"/>
      <c r="L392" s="9" t="str">
        <f aca="false">IF(OR(E392="",H392=""),"",E392*H392)</f>
        <v/>
      </c>
      <c r="M392" s="10" t="str">
        <f aca="false">IF(OR(J392="",H392="",H392=0),"",J392/H392)</f>
        <v/>
      </c>
      <c r="N392" s="10" t="str">
        <f aca="false">IF(OR(J392="",I392="",I392=0),"",J392/I392)</f>
        <v/>
      </c>
      <c r="O392" s="10" t="str">
        <f aca="false">IF(OR(J392="",L392="",L392=0),"",J392/L392)</f>
        <v/>
      </c>
      <c r="P392" s="6"/>
    </row>
    <row r="393" customFormat="false" ht="15" hidden="false" customHeight="false" outlineLevel="0" collapsed="false">
      <c r="A393" s="5"/>
      <c r="B393" s="6"/>
      <c r="C393" s="6"/>
      <c r="D393" s="6"/>
      <c r="E393" s="6"/>
      <c r="F393" s="6"/>
      <c r="G393" s="6"/>
      <c r="H393" s="6"/>
      <c r="I393" s="7"/>
      <c r="J393" s="8"/>
      <c r="K393" s="6"/>
      <c r="L393" s="9" t="str">
        <f aca="false">IF(OR(E393="",H393=""),"",E393*H393)</f>
        <v/>
      </c>
      <c r="M393" s="10" t="str">
        <f aca="false">IF(OR(J393="",H393="",H393=0),"",J393/H393)</f>
        <v/>
      </c>
      <c r="N393" s="10" t="str">
        <f aca="false">IF(OR(J393="",I393="",I393=0),"",J393/I393)</f>
        <v/>
      </c>
      <c r="O393" s="10" t="str">
        <f aca="false">IF(OR(J393="",L393="",L393=0),"",J393/L393)</f>
        <v/>
      </c>
      <c r="P393" s="6"/>
    </row>
    <row r="394" customFormat="false" ht="15" hidden="false" customHeight="false" outlineLevel="0" collapsed="false">
      <c r="A394" s="5"/>
      <c r="B394" s="6"/>
      <c r="C394" s="6"/>
      <c r="D394" s="6"/>
      <c r="E394" s="6"/>
      <c r="F394" s="6"/>
      <c r="G394" s="6"/>
      <c r="H394" s="6"/>
      <c r="I394" s="7"/>
      <c r="J394" s="8"/>
      <c r="K394" s="6"/>
      <c r="L394" s="9" t="str">
        <f aca="false">IF(OR(E394="",H394=""),"",E394*H394)</f>
        <v/>
      </c>
      <c r="M394" s="10" t="str">
        <f aca="false">IF(OR(J394="",H394="",H394=0),"",J394/H394)</f>
        <v/>
      </c>
      <c r="N394" s="10" t="str">
        <f aca="false">IF(OR(J394="",I394="",I394=0),"",J394/I394)</f>
        <v/>
      </c>
      <c r="O394" s="10" t="str">
        <f aca="false">IF(OR(J394="",L394="",L394=0),"",J394/L394)</f>
        <v/>
      </c>
      <c r="P394" s="6"/>
    </row>
    <row r="395" customFormat="false" ht="15" hidden="false" customHeight="false" outlineLevel="0" collapsed="false">
      <c r="A395" s="5"/>
      <c r="B395" s="6"/>
      <c r="C395" s="6"/>
      <c r="D395" s="6"/>
      <c r="E395" s="6"/>
      <c r="F395" s="6"/>
      <c r="G395" s="6"/>
      <c r="H395" s="6"/>
      <c r="I395" s="7"/>
      <c r="J395" s="8"/>
      <c r="K395" s="6"/>
      <c r="L395" s="9" t="str">
        <f aca="false">IF(OR(E395="",H395=""),"",E395*H395)</f>
        <v/>
      </c>
      <c r="M395" s="10" t="str">
        <f aca="false">IF(OR(J395="",H395="",H395=0),"",J395/H395)</f>
        <v/>
      </c>
      <c r="N395" s="10" t="str">
        <f aca="false">IF(OR(J395="",I395="",I395=0),"",J395/I395)</f>
        <v/>
      </c>
      <c r="O395" s="10" t="str">
        <f aca="false">IF(OR(J395="",L395="",L395=0),"",J395/L395)</f>
        <v/>
      </c>
      <c r="P395" s="6"/>
    </row>
    <row r="396" customFormat="false" ht="15" hidden="false" customHeight="false" outlineLevel="0" collapsed="false">
      <c r="A396" s="5"/>
      <c r="B396" s="6"/>
      <c r="C396" s="6"/>
      <c r="D396" s="6"/>
      <c r="E396" s="6"/>
      <c r="F396" s="6"/>
      <c r="G396" s="6"/>
      <c r="H396" s="6"/>
      <c r="I396" s="7"/>
      <c r="J396" s="8"/>
      <c r="K396" s="6"/>
      <c r="L396" s="9" t="str">
        <f aca="false">IF(OR(E396="",H396=""),"",E396*H396)</f>
        <v/>
      </c>
      <c r="M396" s="10" t="str">
        <f aca="false">IF(OR(J396="",H396="",H396=0),"",J396/H396)</f>
        <v/>
      </c>
      <c r="N396" s="10" t="str">
        <f aca="false">IF(OR(J396="",I396="",I396=0),"",J396/I396)</f>
        <v/>
      </c>
      <c r="O396" s="10" t="str">
        <f aca="false">IF(OR(J396="",L396="",L396=0),"",J396/L396)</f>
        <v/>
      </c>
      <c r="P396" s="6"/>
    </row>
    <row r="397" customFormat="false" ht="15" hidden="false" customHeight="false" outlineLevel="0" collapsed="false">
      <c r="A397" s="5"/>
      <c r="B397" s="6"/>
      <c r="C397" s="6"/>
      <c r="D397" s="6"/>
      <c r="E397" s="6"/>
      <c r="F397" s="6"/>
      <c r="G397" s="6"/>
      <c r="H397" s="6"/>
      <c r="I397" s="7"/>
      <c r="J397" s="8"/>
      <c r="K397" s="6"/>
      <c r="L397" s="9" t="str">
        <f aca="false">IF(OR(E397="",H397=""),"",E397*H397)</f>
        <v/>
      </c>
      <c r="M397" s="10" t="str">
        <f aca="false">IF(OR(J397="",H397="",H397=0),"",J397/H397)</f>
        <v/>
      </c>
      <c r="N397" s="10" t="str">
        <f aca="false">IF(OR(J397="",I397="",I397=0),"",J397/I397)</f>
        <v/>
      </c>
      <c r="O397" s="10" t="str">
        <f aca="false">IF(OR(J397="",L397="",L397=0),"",J397/L397)</f>
        <v/>
      </c>
      <c r="P397" s="6"/>
    </row>
    <row r="398" customFormat="false" ht="15" hidden="false" customHeight="false" outlineLevel="0" collapsed="false">
      <c r="A398" s="5"/>
      <c r="B398" s="6"/>
      <c r="C398" s="6"/>
      <c r="D398" s="6"/>
      <c r="E398" s="6"/>
      <c r="F398" s="6"/>
      <c r="G398" s="6"/>
      <c r="H398" s="6"/>
      <c r="I398" s="7"/>
      <c r="J398" s="8"/>
      <c r="K398" s="6"/>
      <c r="L398" s="9" t="str">
        <f aca="false">IF(OR(E398="",H398=""),"",E398*H398)</f>
        <v/>
      </c>
      <c r="M398" s="10" t="str">
        <f aca="false">IF(OR(J398="",H398="",H398=0),"",J398/H398)</f>
        <v/>
      </c>
      <c r="N398" s="10" t="str">
        <f aca="false">IF(OR(J398="",I398="",I398=0),"",J398/I398)</f>
        <v/>
      </c>
      <c r="O398" s="10" t="str">
        <f aca="false">IF(OR(J398="",L398="",L398=0),"",J398/L398)</f>
        <v/>
      </c>
      <c r="P398" s="6"/>
    </row>
    <row r="399" customFormat="false" ht="15" hidden="false" customHeight="false" outlineLevel="0" collapsed="false">
      <c r="A399" s="5"/>
      <c r="B399" s="6"/>
      <c r="C399" s="6"/>
      <c r="D399" s="6"/>
      <c r="E399" s="6"/>
      <c r="F399" s="6"/>
      <c r="G399" s="6"/>
      <c r="H399" s="6"/>
      <c r="I399" s="7"/>
      <c r="J399" s="8"/>
      <c r="K399" s="6"/>
      <c r="L399" s="9" t="str">
        <f aca="false">IF(OR(E399="",H399=""),"",E399*H399)</f>
        <v/>
      </c>
      <c r="M399" s="10" t="str">
        <f aca="false">IF(OR(J399="",H399="",H399=0),"",J399/H399)</f>
        <v/>
      </c>
      <c r="N399" s="10" t="str">
        <f aca="false">IF(OR(J399="",I399="",I399=0),"",J399/I399)</f>
        <v/>
      </c>
      <c r="O399" s="10" t="str">
        <f aca="false">IF(OR(J399="",L399="",L399=0),"",J399/L399)</f>
        <v/>
      </c>
      <c r="P399" s="6"/>
    </row>
    <row r="400" customFormat="false" ht="15" hidden="false" customHeight="false" outlineLevel="0" collapsed="false">
      <c r="A400" s="5"/>
      <c r="B400" s="6"/>
      <c r="C400" s="6"/>
      <c r="D400" s="6"/>
      <c r="E400" s="6"/>
      <c r="F400" s="6"/>
      <c r="G400" s="6"/>
      <c r="H400" s="6"/>
      <c r="I400" s="7"/>
      <c r="J400" s="8"/>
      <c r="K400" s="6"/>
      <c r="L400" s="9" t="str">
        <f aca="false">IF(OR(E400="",H400=""),"",E400*H400)</f>
        <v/>
      </c>
      <c r="M400" s="10" t="str">
        <f aca="false">IF(OR(J400="",H400="",H400=0),"",J400/H400)</f>
        <v/>
      </c>
      <c r="N400" s="10" t="str">
        <f aca="false">IF(OR(J400="",I400="",I400=0),"",J400/I400)</f>
        <v/>
      </c>
      <c r="O400" s="10" t="str">
        <f aca="false">IF(OR(J400="",L400="",L400=0),"",J400/L400)</f>
        <v/>
      </c>
      <c r="P400" s="6"/>
    </row>
    <row r="401" customFormat="false" ht="15" hidden="false" customHeight="false" outlineLevel="0" collapsed="false">
      <c r="A401" s="5"/>
      <c r="B401" s="6"/>
      <c r="C401" s="6"/>
      <c r="D401" s="6"/>
      <c r="E401" s="6"/>
      <c r="F401" s="6"/>
      <c r="G401" s="6"/>
      <c r="H401" s="6"/>
      <c r="I401" s="7"/>
      <c r="J401" s="8"/>
      <c r="K401" s="6"/>
      <c r="L401" s="9" t="str">
        <f aca="false">IF(OR(E401="",H401=""),"",E401*H401)</f>
        <v/>
      </c>
      <c r="M401" s="10" t="str">
        <f aca="false">IF(OR(J401="",H401="",H401=0),"",J401/H401)</f>
        <v/>
      </c>
      <c r="N401" s="10" t="str">
        <f aca="false">IF(OR(J401="",I401="",I401=0),"",J401/I401)</f>
        <v/>
      </c>
      <c r="O401" s="10" t="str">
        <f aca="false">IF(OR(J401="",L401="",L401=0),"",J401/L401)</f>
        <v/>
      </c>
      <c r="P401" s="6"/>
    </row>
    <row r="402" customFormat="false" ht="15" hidden="false" customHeight="false" outlineLevel="0" collapsed="false">
      <c r="A402" s="5"/>
      <c r="B402" s="6"/>
      <c r="C402" s="6"/>
      <c r="D402" s="6"/>
      <c r="E402" s="6"/>
      <c r="F402" s="6"/>
      <c r="G402" s="6"/>
      <c r="H402" s="6"/>
      <c r="I402" s="7"/>
      <c r="J402" s="8"/>
      <c r="K402" s="6"/>
      <c r="L402" s="9" t="str">
        <f aca="false">IF(OR(E402="",H402=""),"",E402*H402)</f>
        <v/>
      </c>
      <c r="M402" s="10" t="str">
        <f aca="false">IF(OR(J402="",H402="",H402=0),"",J402/H402)</f>
        <v/>
      </c>
      <c r="N402" s="10" t="str">
        <f aca="false">IF(OR(J402="",I402="",I402=0),"",J402/I402)</f>
        <v/>
      </c>
      <c r="O402" s="10" t="str">
        <f aca="false">IF(OR(J402="",L402="",L402=0),"",J402/L402)</f>
        <v/>
      </c>
      <c r="P402" s="6"/>
    </row>
    <row r="403" customFormat="false" ht="15" hidden="false" customHeight="false" outlineLevel="0" collapsed="false">
      <c r="A403" s="5"/>
      <c r="B403" s="6"/>
      <c r="C403" s="6"/>
      <c r="D403" s="6"/>
      <c r="E403" s="6"/>
      <c r="F403" s="6"/>
      <c r="G403" s="6"/>
      <c r="H403" s="6"/>
      <c r="I403" s="7"/>
      <c r="J403" s="8"/>
      <c r="K403" s="6"/>
      <c r="L403" s="9" t="str">
        <f aca="false">IF(OR(E403="",H403=""),"",E403*H403)</f>
        <v/>
      </c>
      <c r="M403" s="10" t="str">
        <f aca="false">IF(OR(J403="",H403="",H403=0),"",J403/H403)</f>
        <v/>
      </c>
      <c r="N403" s="10" t="str">
        <f aca="false">IF(OR(J403="",I403="",I403=0),"",J403/I403)</f>
        <v/>
      </c>
      <c r="O403" s="10" t="str">
        <f aca="false">IF(OR(J403="",L403="",L403=0),"",J403/L403)</f>
        <v/>
      </c>
      <c r="P403" s="6"/>
    </row>
    <row r="404" customFormat="false" ht="15" hidden="false" customHeight="false" outlineLevel="0" collapsed="false">
      <c r="A404" s="5"/>
      <c r="B404" s="6"/>
      <c r="C404" s="6"/>
      <c r="D404" s="6"/>
      <c r="E404" s="6"/>
      <c r="F404" s="6"/>
      <c r="G404" s="6"/>
      <c r="H404" s="6"/>
      <c r="I404" s="7"/>
      <c r="J404" s="8"/>
      <c r="K404" s="6"/>
      <c r="L404" s="9" t="str">
        <f aca="false">IF(OR(E404="",H404=""),"",E404*H404)</f>
        <v/>
      </c>
      <c r="M404" s="10" t="str">
        <f aca="false">IF(OR(J404="",H404="",H404=0),"",J404/H404)</f>
        <v/>
      </c>
      <c r="N404" s="10" t="str">
        <f aca="false">IF(OR(J404="",I404="",I404=0),"",J404/I404)</f>
        <v/>
      </c>
      <c r="O404" s="10" t="str">
        <f aca="false">IF(OR(J404="",L404="",L404=0),"",J404/L404)</f>
        <v/>
      </c>
      <c r="P404" s="6"/>
    </row>
    <row r="405" customFormat="false" ht="15" hidden="false" customHeight="false" outlineLevel="0" collapsed="false">
      <c r="A405" s="5"/>
      <c r="B405" s="6"/>
      <c r="C405" s="6"/>
      <c r="D405" s="6"/>
      <c r="E405" s="6"/>
      <c r="F405" s="6"/>
      <c r="G405" s="6"/>
      <c r="H405" s="6"/>
      <c r="I405" s="7"/>
      <c r="J405" s="8"/>
      <c r="K405" s="6"/>
      <c r="L405" s="9" t="str">
        <f aca="false">IF(OR(E405="",H405=""),"",E405*H405)</f>
        <v/>
      </c>
      <c r="M405" s="10" t="str">
        <f aca="false">IF(OR(J405="",H405="",H405=0),"",J405/H405)</f>
        <v/>
      </c>
      <c r="N405" s="10" t="str">
        <f aca="false">IF(OR(J405="",I405="",I405=0),"",J405/I405)</f>
        <v/>
      </c>
      <c r="O405" s="10" t="str">
        <f aca="false">IF(OR(J405="",L405="",L405=0),"",J405/L405)</f>
        <v/>
      </c>
      <c r="P405" s="6"/>
    </row>
    <row r="406" customFormat="false" ht="15" hidden="false" customHeight="false" outlineLevel="0" collapsed="false">
      <c r="A406" s="5"/>
      <c r="B406" s="6"/>
      <c r="C406" s="6"/>
      <c r="D406" s="6"/>
      <c r="E406" s="6"/>
      <c r="F406" s="6"/>
      <c r="G406" s="6"/>
      <c r="H406" s="6"/>
      <c r="I406" s="7"/>
      <c r="J406" s="8"/>
      <c r="K406" s="6"/>
      <c r="L406" s="9" t="str">
        <f aca="false">IF(OR(E406="",H406=""),"",E406*H406)</f>
        <v/>
      </c>
      <c r="M406" s="10" t="str">
        <f aca="false">IF(OR(J406="",H406="",H406=0),"",J406/H406)</f>
        <v/>
      </c>
      <c r="N406" s="10" t="str">
        <f aca="false">IF(OR(J406="",I406="",I406=0),"",J406/I406)</f>
        <v/>
      </c>
      <c r="O406" s="10" t="str">
        <f aca="false">IF(OR(J406="",L406="",L406=0),"",J406/L406)</f>
        <v/>
      </c>
      <c r="P406" s="6"/>
    </row>
    <row r="407" customFormat="false" ht="15" hidden="false" customHeight="false" outlineLevel="0" collapsed="false">
      <c r="A407" s="5"/>
      <c r="B407" s="6"/>
      <c r="C407" s="6"/>
      <c r="D407" s="6"/>
      <c r="E407" s="6"/>
      <c r="F407" s="6"/>
      <c r="G407" s="6"/>
      <c r="H407" s="6"/>
      <c r="I407" s="7"/>
      <c r="J407" s="8"/>
      <c r="K407" s="6"/>
      <c r="L407" s="9" t="str">
        <f aca="false">IF(OR(E407="",H407=""),"",E407*H407)</f>
        <v/>
      </c>
      <c r="M407" s="10" t="str">
        <f aca="false">IF(OR(J407="",H407="",H407=0),"",J407/H407)</f>
        <v/>
      </c>
      <c r="N407" s="10" t="str">
        <f aca="false">IF(OR(J407="",I407="",I407=0),"",J407/I407)</f>
        <v/>
      </c>
      <c r="O407" s="10" t="str">
        <f aca="false">IF(OR(J407="",L407="",L407=0),"",J407/L407)</f>
        <v/>
      </c>
      <c r="P407" s="6"/>
    </row>
    <row r="408" customFormat="false" ht="15" hidden="false" customHeight="false" outlineLevel="0" collapsed="false">
      <c r="A408" s="5"/>
      <c r="B408" s="6"/>
      <c r="C408" s="6"/>
      <c r="D408" s="6"/>
      <c r="E408" s="6"/>
      <c r="F408" s="6"/>
      <c r="G408" s="6"/>
      <c r="H408" s="6"/>
      <c r="I408" s="7"/>
      <c r="J408" s="8"/>
      <c r="K408" s="6"/>
      <c r="L408" s="9" t="str">
        <f aca="false">IF(OR(E408="",H408=""),"",E408*H408)</f>
        <v/>
      </c>
      <c r="M408" s="10" t="str">
        <f aca="false">IF(OR(J408="",H408="",H408=0),"",J408/H408)</f>
        <v/>
      </c>
      <c r="N408" s="10" t="str">
        <f aca="false">IF(OR(J408="",I408="",I408=0),"",J408/I408)</f>
        <v/>
      </c>
      <c r="O408" s="10" t="str">
        <f aca="false">IF(OR(J408="",L408="",L408=0),"",J408/L408)</f>
        <v/>
      </c>
      <c r="P408" s="6"/>
    </row>
    <row r="409" customFormat="false" ht="15" hidden="false" customHeight="false" outlineLevel="0" collapsed="false">
      <c r="A409" s="5"/>
      <c r="B409" s="6"/>
      <c r="C409" s="6"/>
      <c r="D409" s="6"/>
      <c r="E409" s="6"/>
      <c r="F409" s="6"/>
      <c r="G409" s="6"/>
      <c r="H409" s="6"/>
      <c r="I409" s="7"/>
      <c r="J409" s="8"/>
      <c r="K409" s="6"/>
      <c r="L409" s="9" t="str">
        <f aca="false">IF(OR(E409="",H409=""),"",E409*H409)</f>
        <v/>
      </c>
      <c r="M409" s="10" t="str">
        <f aca="false">IF(OR(J409="",H409="",H409=0),"",J409/H409)</f>
        <v/>
      </c>
      <c r="N409" s="10" t="str">
        <f aca="false">IF(OR(J409="",I409="",I409=0),"",J409/I409)</f>
        <v/>
      </c>
      <c r="O409" s="10" t="str">
        <f aca="false">IF(OR(J409="",L409="",L409=0),"",J409/L409)</f>
        <v/>
      </c>
      <c r="P409" s="6"/>
    </row>
    <row r="410" customFormat="false" ht="15" hidden="false" customHeight="false" outlineLevel="0" collapsed="false">
      <c r="A410" s="5"/>
      <c r="B410" s="6"/>
      <c r="C410" s="6"/>
      <c r="D410" s="6"/>
      <c r="E410" s="6"/>
      <c r="F410" s="6"/>
      <c r="G410" s="6"/>
      <c r="H410" s="6"/>
      <c r="I410" s="7"/>
      <c r="J410" s="8"/>
      <c r="K410" s="6"/>
      <c r="L410" s="9" t="str">
        <f aca="false">IF(OR(E410="",H410=""),"",E410*H410)</f>
        <v/>
      </c>
      <c r="M410" s="10" t="str">
        <f aca="false">IF(OR(J410="",H410="",H410=0),"",J410/H410)</f>
        <v/>
      </c>
      <c r="N410" s="10" t="str">
        <f aca="false">IF(OR(J410="",I410="",I410=0),"",J410/I410)</f>
        <v/>
      </c>
      <c r="O410" s="10" t="str">
        <f aca="false">IF(OR(J410="",L410="",L410=0),"",J410/L410)</f>
        <v/>
      </c>
      <c r="P410" s="6"/>
    </row>
    <row r="411" customFormat="false" ht="15" hidden="false" customHeight="false" outlineLevel="0" collapsed="false">
      <c r="A411" s="5"/>
      <c r="B411" s="6"/>
      <c r="C411" s="6"/>
      <c r="D411" s="6"/>
      <c r="E411" s="6"/>
      <c r="F411" s="6"/>
      <c r="G411" s="6"/>
      <c r="H411" s="6"/>
      <c r="I411" s="7"/>
      <c r="J411" s="8"/>
      <c r="K411" s="6"/>
      <c r="L411" s="9" t="str">
        <f aca="false">IF(OR(E411="",H411=""),"",E411*H411)</f>
        <v/>
      </c>
      <c r="M411" s="10" t="str">
        <f aca="false">IF(OR(J411="",H411="",H411=0),"",J411/H411)</f>
        <v/>
      </c>
      <c r="N411" s="10" t="str">
        <f aca="false">IF(OR(J411="",I411="",I411=0),"",J411/I411)</f>
        <v/>
      </c>
      <c r="O411" s="10" t="str">
        <f aca="false">IF(OR(J411="",L411="",L411=0),"",J411/L411)</f>
        <v/>
      </c>
      <c r="P411" s="6"/>
    </row>
    <row r="412" customFormat="false" ht="15" hidden="false" customHeight="false" outlineLevel="0" collapsed="false">
      <c r="A412" s="5"/>
      <c r="B412" s="6"/>
      <c r="C412" s="6"/>
      <c r="D412" s="6"/>
      <c r="E412" s="6"/>
      <c r="F412" s="6"/>
      <c r="G412" s="6"/>
      <c r="H412" s="6"/>
      <c r="I412" s="7"/>
      <c r="J412" s="8"/>
      <c r="K412" s="6"/>
      <c r="L412" s="9" t="str">
        <f aca="false">IF(OR(E412="",H412=""),"",E412*H412)</f>
        <v/>
      </c>
      <c r="M412" s="10" t="str">
        <f aca="false">IF(OR(J412="",H412="",H412=0),"",J412/H412)</f>
        <v/>
      </c>
      <c r="N412" s="10" t="str">
        <f aca="false">IF(OR(J412="",I412="",I412=0),"",J412/I412)</f>
        <v/>
      </c>
      <c r="O412" s="10" t="str">
        <f aca="false">IF(OR(J412="",L412="",L412=0),"",J412/L412)</f>
        <v/>
      </c>
      <c r="P412" s="6"/>
    </row>
    <row r="413" customFormat="false" ht="15" hidden="false" customHeight="false" outlineLevel="0" collapsed="false">
      <c r="A413" s="5"/>
      <c r="B413" s="6"/>
      <c r="C413" s="6"/>
      <c r="D413" s="6"/>
      <c r="E413" s="6"/>
      <c r="F413" s="6"/>
      <c r="G413" s="6"/>
      <c r="H413" s="6"/>
      <c r="I413" s="7"/>
      <c r="J413" s="8"/>
      <c r="K413" s="6"/>
      <c r="L413" s="9" t="str">
        <f aca="false">IF(OR(E413="",H413=""),"",E413*H413)</f>
        <v/>
      </c>
      <c r="M413" s="10" t="str">
        <f aca="false">IF(OR(J413="",H413="",H413=0),"",J413/H413)</f>
        <v/>
      </c>
      <c r="N413" s="10" t="str">
        <f aca="false">IF(OR(J413="",I413="",I413=0),"",J413/I413)</f>
        <v/>
      </c>
      <c r="O413" s="10" t="str">
        <f aca="false">IF(OR(J413="",L413="",L413=0),"",J413/L413)</f>
        <v/>
      </c>
      <c r="P413" s="6"/>
    </row>
    <row r="414" customFormat="false" ht="15" hidden="false" customHeight="false" outlineLevel="0" collapsed="false">
      <c r="A414" s="5"/>
      <c r="B414" s="6"/>
      <c r="C414" s="6"/>
      <c r="D414" s="6"/>
      <c r="E414" s="6"/>
      <c r="F414" s="6"/>
      <c r="G414" s="6"/>
      <c r="H414" s="6"/>
      <c r="I414" s="7"/>
      <c r="J414" s="8"/>
      <c r="K414" s="6"/>
      <c r="L414" s="9" t="str">
        <f aca="false">IF(OR(E414="",H414=""),"",E414*H414)</f>
        <v/>
      </c>
      <c r="M414" s="10" t="str">
        <f aca="false">IF(OR(J414="",H414="",H414=0),"",J414/H414)</f>
        <v/>
      </c>
      <c r="N414" s="10" t="str">
        <f aca="false">IF(OR(J414="",I414="",I414=0),"",J414/I414)</f>
        <v/>
      </c>
      <c r="O414" s="10" t="str">
        <f aca="false">IF(OR(J414="",L414="",L414=0),"",J414/L414)</f>
        <v/>
      </c>
      <c r="P414" s="6"/>
    </row>
    <row r="415" customFormat="false" ht="15" hidden="false" customHeight="false" outlineLevel="0" collapsed="false">
      <c r="A415" s="5"/>
      <c r="B415" s="6"/>
      <c r="C415" s="6"/>
      <c r="D415" s="6"/>
      <c r="E415" s="6"/>
      <c r="F415" s="6"/>
      <c r="G415" s="6"/>
      <c r="H415" s="6"/>
      <c r="I415" s="7"/>
      <c r="J415" s="8"/>
      <c r="K415" s="6"/>
      <c r="L415" s="9" t="str">
        <f aca="false">IF(OR(E415="",H415=""),"",E415*H415)</f>
        <v/>
      </c>
      <c r="M415" s="10" t="str">
        <f aca="false">IF(OR(J415="",H415="",H415=0),"",J415/H415)</f>
        <v/>
      </c>
      <c r="N415" s="10" t="str">
        <f aca="false">IF(OR(J415="",I415="",I415=0),"",J415/I415)</f>
        <v/>
      </c>
      <c r="O415" s="10" t="str">
        <f aca="false">IF(OR(J415="",L415="",L415=0),"",J415/L415)</f>
        <v/>
      </c>
      <c r="P415" s="6"/>
    </row>
    <row r="416" customFormat="false" ht="15" hidden="false" customHeight="false" outlineLevel="0" collapsed="false">
      <c r="A416" s="5"/>
      <c r="B416" s="6"/>
      <c r="C416" s="6"/>
      <c r="D416" s="6"/>
      <c r="E416" s="6"/>
      <c r="F416" s="6"/>
      <c r="G416" s="6"/>
      <c r="H416" s="6"/>
      <c r="I416" s="7"/>
      <c r="J416" s="8"/>
      <c r="K416" s="6"/>
      <c r="L416" s="9" t="str">
        <f aca="false">IF(OR(E416="",H416=""),"",E416*H416)</f>
        <v/>
      </c>
      <c r="M416" s="10" t="str">
        <f aca="false">IF(OR(J416="",H416="",H416=0),"",J416/H416)</f>
        <v/>
      </c>
      <c r="N416" s="10" t="str">
        <f aca="false">IF(OR(J416="",I416="",I416=0),"",J416/I416)</f>
        <v/>
      </c>
      <c r="O416" s="10" t="str">
        <f aca="false">IF(OR(J416="",L416="",L416=0),"",J416/L416)</f>
        <v/>
      </c>
      <c r="P416" s="6"/>
    </row>
    <row r="417" customFormat="false" ht="15" hidden="false" customHeight="false" outlineLevel="0" collapsed="false">
      <c r="A417" s="5"/>
      <c r="B417" s="6"/>
      <c r="C417" s="6"/>
      <c r="D417" s="6"/>
      <c r="E417" s="6"/>
      <c r="F417" s="6"/>
      <c r="G417" s="6"/>
      <c r="H417" s="6"/>
      <c r="I417" s="7"/>
      <c r="J417" s="8"/>
      <c r="K417" s="6"/>
      <c r="L417" s="9" t="str">
        <f aca="false">IF(OR(E417="",H417=""),"",E417*H417)</f>
        <v/>
      </c>
      <c r="M417" s="10" t="str">
        <f aca="false">IF(OR(J417="",H417="",H417=0),"",J417/H417)</f>
        <v/>
      </c>
      <c r="N417" s="10" t="str">
        <f aca="false">IF(OR(J417="",I417="",I417=0),"",J417/I417)</f>
        <v/>
      </c>
      <c r="O417" s="10" t="str">
        <f aca="false">IF(OR(J417="",L417="",L417=0),"",J417/L417)</f>
        <v/>
      </c>
      <c r="P417" s="6"/>
    </row>
    <row r="418" customFormat="false" ht="15" hidden="false" customHeight="false" outlineLevel="0" collapsed="false">
      <c r="A418" s="5"/>
      <c r="B418" s="6"/>
      <c r="C418" s="6"/>
      <c r="D418" s="6"/>
      <c r="E418" s="6"/>
      <c r="F418" s="6"/>
      <c r="G418" s="6"/>
      <c r="H418" s="6"/>
      <c r="I418" s="7"/>
      <c r="J418" s="8"/>
      <c r="K418" s="6"/>
      <c r="L418" s="9" t="str">
        <f aca="false">IF(OR(E418="",H418=""),"",E418*H418)</f>
        <v/>
      </c>
      <c r="M418" s="10" t="str">
        <f aca="false">IF(OR(J418="",H418="",H418=0),"",J418/H418)</f>
        <v/>
      </c>
      <c r="N418" s="10" t="str">
        <f aca="false">IF(OR(J418="",I418="",I418=0),"",J418/I418)</f>
        <v/>
      </c>
      <c r="O418" s="10" t="str">
        <f aca="false">IF(OR(J418="",L418="",L418=0),"",J418/L418)</f>
        <v/>
      </c>
      <c r="P418" s="6"/>
    </row>
    <row r="419" customFormat="false" ht="15" hidden="false" customHeight="false" outlineLevel="0" collapsed="false">
      <c r="A419" s="5"/>
      <c r="B419" s="6"/>
      <c r="C419" s="6"/>
      <c r="D419" s="6"/>
      <c r="E419" s="6"/>
      <c r="F419" s="6"/>
      <c r="G419" s="6"/>
      <c r="H419" s="6"/>
      <c r="I419" s="7"/>
      <c r="J419" s="8"/>
      <c r="K419" s="6"/>
      <c r="L419" s="9" t="str">
        <f aca="false">IF(OR(E419="",H419=""),"",E419*H419)</f>
        <v/>
      </c>
      <c r="M419" s="10" t="str">
        <f aca="false">IF(OR(J419="",H419="",H419=0),"",J419/H419)</f>
        <v/>
      </c>
      <c r="N419" s="10" t="str">
        <f aca="false">IF(OR(J419="",I419="",I419=0),"",J419/I419)</f>
        <v/>
      </c>
      <c r="O419" s="10" t="str">
        <f aca="false">IF(OR(J419="",L419="",L419=0),"",J419/L419)</f>
        <v/>
      </c>
      <c r="P419" s="6"/>
    </row>
    <row r="420" customFormat="false" ht="15" hidden="false" customHeight="false" outlineLevel="0" collapsed="false">
      <c r="A420" s="5"/>
      <c r="B420" s="6"/>
      <c r="C420" s="6"/>
      <c r="D420" s="6"/>
      <c r="E420" s="6"/>
      <c r="F420" s="6"/>
      <c r="G420" s="6"/>
      <c r="H420" s="6"/>
      <c r="I420" s="7"/>
      <c r="J420" s="8"/>
      <c r="K420" s="6"/>
      <c r="L420" s="9" t="str">
        <f aca="false">IF(OR(E420="",H420=""),"",E420*H420)</f>
        <v/>
      </c>
      <c r="M420" s="10" t="str">
        <f aca="false">IF(OR(J420="",H420="",H420=0),"",J420/H420)</f>
        <v/>
      </c>
      <c r="N420" s="10" t="str">
        <f aca="false">IF(OR(J420="",I420="",I420=0),"",J420/I420)</f>
        <v/>
      </c>
      <c r="O420" s="10" t="str">
        <f aca="false">IF(OR(J420="",L420="",L420=0),"",J420/L420)</f>
        <v/>
      </c>
      <c r="P420" s="6"/>
    </row>
    <row r="421" customFormat="false" ht="15" hidden="false" customHeight="false" outlineLevel="0" collapsed="false">
      <c r="A421" s="5"/>
      <c r="B421" s="6"/>
      <c r="C421" s="6"/>
      <c r="D421" s="6"/>
      <c r="E421" s="6"/>
      <c r="F421" s="6"/>
      <c r="G421" s="6"/>
      <c r="H421" s="6"/>
      <c r="I421" s="7"/>
      <c r="J421" s="8"/>
      <c r="K421" s="6"/>
      <c r="L421" s="9" t="str">
        <f aca="false">IF(OR(E421="",H421=""),"",E421*H421)</f>
        <v/>
      </c>
      <c r="M421" s="10" t="str">
        <f aca="false">IF(OR(J421="",H421="",H421=0),"",J421/H421)</f>
        <v/>
      </c>
      <c r="N421" s="10" t="str">
        <f aca="false">IF(OR(J421="",I421="",I421=0),"",J421/I421)</f>
        <v/>
      </c>
      <c r="O421" s="10" t="str">
        <f aca="false">IF(OR(J421="",L421="",L421=0),"",J421/L421)</f>
        <v/>
      </c>
      <c r="P421" s="6"/>
    </row>
    <row r="422" customFormat="false" ht="15" hidden="false" customHeight="false" outlineLevel="0" collapsed="false">
      <c r="A422" s="5"/>
      <c r="B422" s="6"/>
      <c r="C422" s="6"/>
      <c r="D422" s="6"/>
      <c r="E422" s="6"/>
      <c r="F422" s="6"/>
      <c r="G422" s="6"/>
      <c r="H422" s="6"/>
      <c r="I422" s="7"/>
      <c r="J422" s="8"/>
      <c r="K422" s="6"/>
      <c r="L422" s="9" t="str">
        <f aca="false">IF(OR(E422="",H422=""),"",E422*H422)</f>
        <v/>
      </c>
      <c r="M422" s="10" t="str">
        <f aca="false">IF(OR(J422="",H422="",H422=0),"",J422/H422)</f>
        <v/>
      </c>
      <c r="N422" s="10" t="str">
        <f aca="false">IF(OR(J422="",I422="",I422=0),"",J422/I422)</f>
        <v/>
      </c>
      <c r="O422" s="10" t="str">
        <f aca="false">IF(OR(J422="",L422="",L422=0),"",J422/L422)</f>
        <v/>
      </c>
      <c r="P422" s="6"/>
    </row>
    <row r="423" customFormat="false" ht="15" hidden="false" customHeight="false" outlineLevel="0" collapsed="false">
      <c r="A423" s="5"/>
      <c r="B423" s="6"/>
      <c r="C423" s="6"/>
      <c r="D423" s="6"/>
      <c r="E423" s="6"/>
      <c r="F423" s="6"/>
      <c r="G423" s="6"/>
      <c r="H423" s="6"/>
      <c r="I423" s="7"/>
      <c r="J423" s="8"/>
      <c r="K423" s="6"/>
      <c r="L423" s="9" t="str">
        <f aca="false">IF(OR(E423="",H423=""),"",E423*H423)</f>
        <v/>
      </c>
      <c r="M423" s="10" t="str">
        <f aca="false">IF(OR(J423="",H423="",H423=0),"",J423/H423)</f>
        <v/>
      </c>
      <c r="N423" s="10" t="str">
        <f aca="false">IF(OR(J423="",I423="",I423=0),"",J423/I423)</f>
        <v/>
      </c>
      <c r="O423" s="10" t="str">
        <f aca="false">IF(OR(J423="",L423="",L423=0),"",J423/L423)</f>
        <v/>
      </c>
      <c r="P423" s="6"/>
    </row>
    <row r="424" customFormat="false" ht="15" hidden="false" customHeight="false" outlineLevel="0" collapsed="false">
      <c r="A424" s="5"/>
      <c r="B424" s="6"/>
      <c r="C424" s="6"/>
      <c r="D424" s="6"/>
      <c r="E424" s="6"/>
      <c r="F424" s="6"/>
      <c r="G424" s="6"/>
      <c r="H424" s="6"/>
      <c r="I424" s="7"/>
      <c r="J424" s="8"/>
      <c r="K424" s="6"/>
      <c r="L424" s="9" t="str">
        <f aca="false">IF(OR(E424="",H424=""),"",E424*H424)</f>
        <v/>
      </c>
      <c r="M424" s="10" t="str">
        <f aca="false">IF(OR(J424="",H424="",H424=0),"",J424/H424)</f>
        <v/>
      </c>
      <c r="N424" s="10" t="str">
        <f aca="false">IF(OR(J424="",I424="",I424=0),"",J424/I424)</f>
        <v/>
      </c>
      <c r="O424" s="10" t="str">
        <f aca="false">IF(OR(J424="",L424="",L424=0),"",J424/L424)</f>
        <v/>
      </c>
      <c r="P424" s="6"/>
    </row>
    <row r="425" customFormat="false" ht="15" hidden="false" customHeight="false" outlineLevel="0" collapsed="false">
      <c r="A425" s="5"/>
      <c r="B425" s="6"/>
      <c r="C425" s="6"/>
      <c r="D425" s="6"/>
      <c r="E425" s="6"/>
      <c r="F425" s="6"/>
      <c r="G425" s="6"/>
      <c r="H425" s="6"/>
      <c r="I425" s="7"/>
      <c r="J425" s="8"/>
      <c r="K425" s="6"/>
      <c r="L425" s="9" t="str">
        <f aca="false">IF(OR(E425="",H425=""),"",E425*H425)</f>
        <v/>
      </c>
      <c r="M425" s="10" t="str">
        <f aca="false">IF(OR(J425="",H425="",H425=0),"",J425/H425)</f>
        <v/>
      </c>
      <c r="N425" s="10" t="str">
        <f aca="false">IF(OR(J425="",I425="",I425=0),"",J425/I425)</f>
        <v/>
      </c>
      <c r="O425" s="10" t="str">
        <f aca="false">IF(OR(J425="",L425="",L425=0),"",J425/L425)</f>
        <v/>
      </c>
      <c r="P425" s="6"/>
    </row>
    <row r="426" customFormat="false" ht="15" hidden="false" customHeight="false" outlineLevel="0" collapsed="false">
      <c r="A426" s="5"/>
      <c r="B426" s="6"/>
      <c r="C426" s="6"/>
      <c r="D426" s="6"/>
      <c r="E426" s="6"/>
      <c r="F426" s="6"/>
      <c r="G426" s="6"/>
      <c r="H426" s="6"/>
      <c r="I426" s="7"/>
      <c r="J426" s="8"/>
      <c r="K426" s="6"/>
      <c r="L426" s="9" t="str">
        <f aca="false">IF(OR(E426="",H426=""),"",E426*H426)</f>
        <v/>
      </c>
      <c r="M426" s="10" t="str">
        <f aca="false">IF(OR(J426="",H426="",H426=0),"",J426/H426)</f>
        <v/>
      </c>
      <c r="N426" s="10" t="str">
        <f aca="false">IF(OR(J426="",I426="",I426=0),"",J426/I426)</f>
        <v/>
      </c>
      <c r="O426" s="10" t="str">
        <f aca="false">IF(OR(J426="",L426="",L426=0),"",J426/L426)</f>
        <v/>
      </c>
      <c r="P426" s="6"/>
    </row>
    <row r="427" customFormat="false" ht="15" hidden="false" customHeight="false" outlineLevel="0" collapsed="false">
      <c r="A427" s="5"/>
      <c r="B427" s="6"/>
      <c r="C427" s="6"/>
      <c r="D427" s="6"/>
      <c r="E427" s="6"/>
      <c r="F427" s="6"/>
      <c r="G427" s="6"/>
      <c r="H427" s="6"/>
      <c r="I427" s="7"/>
      <c r="J427" s="8"/>
      <c r="K427" s="6"/>
      <c r="L427" s="9" t="str">
        <f aca="false">IF(OR(E427="",H427=""),"",E427*H427)</f>
        <v/>
      </c>
      <c r="M427" s="10" t="str">
        <f aca="false">IF(OR(J427="",H427="",H427=0),"",J427/H427)</f>
        <v/>
      </c>
      <c r="N427" s="10" t="str">
        <f aca="false">IF(OR(J427="",I427="",I427=0),"",J427/I427)</f>
        <v/>
      </c>
      <c r="O427" s="10" t="str">
        <f aca="false">IF(OR(J427="",L427="",L427=0),"",J427/L427)</f>
        <v/>
      </c>
      <c r="P427" s="6"/>
    </row>
    <row r="428" customFormat="false" ht="15" hidden="false" customHeight="false" outlineLevel="0" collapsed="false">
      <c r="A428" s="5"/>
      <c r="B428" s="6"/>
      <c r="C428" s="6"/>
      <c r="D428" s="6"/>
      <c r="E428" s="6"/>
      <c r="F428" s="6"/>
      <c r="G428" s="6"/>
      <c r="H428" s="6"/>
      <c r="I428" s="7"/>
      <c r="J428" s="8"/>
      <c r="K428" s="6"/>
      <c r="L428" s="9" t="str">
        <f aca="false">IF(OR(E428="",H428=""),"",E428*H428)</f>
        <v/>
      </c>
      <c r="M428" s="10" t="str">
        <f aca="false">IF(OR(J428="",H428="",H428=0),"",J428/H428)</f>
        <v/>
      </c>
      <c r="N428" s="10" t="str">
        <f aca="false">IF(OR(J428="",I428="",I428=0),"",J428/I428)</f>
        <v/>
      </c>
      <c r="O428" s="10" t="str">
        <f aca="false">IF(OR(J428="",L428="",L428=0),"",J428/L428)</f>
        <v/>
      </c>
      <c r="P428" s="6"/>
    </row>
    <row r="429" customFormat="false" ht="15" hidden="false" customHeight="false" outlineLevel="0" collapsed="false">
      <c r="A429" s="5"/>
      <c r="B429" s="6"/>
      <c r="C429" s="6"/>
      <c r="D429" s="6"/>
      <c r="E429" s="6"/>
      <c r="F429" s="6"/>
      <c r="G429" s="6"/>
      <c r="H429" s="6"/>
      <c r="I429" s="7"/>
      <c r="J429" s="8"/>
      <c r="K429" s="6"/>
      <c r="L429" s="9" t="str">
        <f aca="false">IF(OR(E429="",H429=""),"",E429*H429)</f>
        <v/>
      </c>
      <c r="M429" s="10" t="str">
        <f aca="false">IF(OR(J429="",H429="",H429=0),"",J429/H429)</f>
        <v/>
      </c>
      <c r="N429" s="10" t="str">
        <f aca="false">IF(OR(J429="",I429="",I429=0),"",J429/I429)</f>
        <v/>
      </c>
      <c r="O429" s="10" t="str">
        <f aca="false">IF(OR(J429="",L429="",L429=0),"",J429/L429)</f>
        <v/>
      </c>
      <c r="P429" s="6"/>
    </row>
    <row r="430" customFormat="false" ht="15" hidden="false" customHeight="false" outlineLevel="0" collapsed="false">
      <c r="A430" s="5"/>
      <c r="B430" s="6"/>
      <c r="C430" s="6"/>
      <c r="D430" s="6"/>
      <c r="E430" s="6"/>
      <c r="F430" s="6"/>
      <c r="G430" s="6"/>
      <c r="H430" s="6"/>
      <c r="I430" s="7"/>
      <c r="J430" s="8"/>
      <c r="K430" s="6"/>
      <c r="L430" s="9" t="str">
        <f aca="false">IF(OR(E430="",H430=""),"",E430*H430)</f>
        <v/>
      </c>
      <c r="M430" s="10" t="str">
        <f aca="false">IF(OR(J430="",H430="",H430=0),"",J430/H430)</f>
        <v/>
      </c>
      <c r="N430" s="10" t="str">
        <f aca="false">IF(OR(J430="",I430="",I430=0),"",J430/I430)</f>
        <v/>
      </c>
      <c r="O430" s="10" t="str">
        <f aca="false">IF(OR(J430="",L430="",L430=0),"",J430/L430)</f>
        <v/>
      </c>
      <c r="P430" s="6"/>
    </row>
    <row r="431" customFormat="false" ht="15" hidden="false" customHeight="false" outlineLevel="0" collapsed="false">
      <c r="A431" s="5"/>
      <c r="B431" s="6"/>
      <c r="C431" s="6"/>
      <c r="D431" s="6"/>
      <c r="E431" s="6"/>
      <c r="F431" s="6"/>
      <c r="G431" s="6"/>
      <c r="H431" s="6"/>
      <c r="I431" s="7"/>
      <c r="J431" s="8"/>
      <c r="K431" s="6"/>
      <c r="L431" s="9" t="str">
        <f aca="false">IF(OR(E431="",H431=""),"",E431*H431)</f>
        <v/>
      </c>
      <c r="M431" s="10" t="str">
        <f aca="false">IF(OR(J431="",H431="",H431=0),"",J431/H431)</f>
        <v/>
      </c>
      <c r="N431" s="10" t="str">
        <f aca="false">IF(OR(J431="",I431="",I431=0),"",J431/I431)</f>
        <v/>
      </c>
      <c r="O431" s="10" t="str">
        <f aca="false">IF(OR(J431="",L431="",L431=0),"",J431/L431)</f>
        <v/>
      </c>
      <c r="P431" s="6"/>
    </row>
    <row r="432" customFormat="false" ht="15" hidden="false" customHeight="false" outlineLevel="0" collapsed="false">
      <c r="A432" s="5"/>
      <c r="B432" s="6"/>
      <c r="C432" s="6"/>
      <c r="D432" s="6"/>
      <c r="E432" s="6"/>
      <c r="F432" s="6"/>
      <c r="G432" s="6"/>
      <c r="H432" s="6"/>
      <c r="I432" s="7"/>
      <c r="J432" s="8"/>
      <c r="K432" s="6"/>
      <c r="L432" s="9" t="str">
        <f aca="false">IF(OR(E432="",H432=""),"",E432*H432)</f>
        <v/>
      </c>
      <c r="M432" s="10" t="str">
        <f aca="false">IF(OR(J432="",H432="",H432=0),"",J432/H432)</f>
        <v/>
      </c>
      <c r="N432" s="10" t="str">
        <f aca="false">IF(OR(J432="",I432="",I432=0),"",J432/I432)</f>
        <v/>
      </c>
      <c r="O432" s="10" t="str">
        <f aca="false">IF(OR(J432="",L432="",L432=0),"",J432/L432)</f>
        <v/>
      </c>
      <c r="P432" s="6"/>
    </row>
    <row r="433" customFormat="false" ht="15" hidden="false" customHeight="false" outlineLevel="0" collapsed="false">
      <c r="A433" s="5"/>
      <c r="B433" s="6"/>
      <c r="C433" s="6"/>
      <c r="D433" s="6"/>
      <c r="E433" s="6"/>
      <c r="F433" s="6"/>
      <c r="G433" s="6"/>
      <c r="H433" s="6"/>
      <c r="I433" s="7"/>
      <c r="J433" s="8"/>
      <c r="K433" s="6"/>
      <c r="L433" s="9" t="str">
        <f aca="false">IF(OR(E433="",H433=""),"",E433*H433)</f>
        <v/>
      </c>
      <c r="M433" s="10" t="str">
        <f aca="false">IF(OR(J433="",H433="",H433=0),"",J433/H433)</f>
        <v/>
      </c>
      <c r="N433" s="10" t="str">
        <f aca="false">IF(OR(J433="",I433="",I433=0),"",J433/I433)</f>
        <v/>
      </c>
      <c r="O433" s="10" t="str">
        <f aca="false">IF(OR(J433="",L433="",L433=0),"",J433/L433)</f>
        <v/>
      </c>
      <c r="P433" s="6"/>
    </row>
    <row r="434" customFormat="false" ht="15" hidden="false" customHeight="false" outlineLevel="0" collapsed="false">
      <c r="A434" s="5"/>
      <c r="B434" s="6"/>
      <c r="C434" s="6"/>
      <c r="D434" s="6"/>
      <c r="E434" s="6"/>
      <c r="F434" s="6"/>
      <c r="G434" s="6"/>
      <c r="H434" s="6"/>
      <c r="I434" s="7"/>
      <c r="J434" s="8"/>
      <c r="K434" s="6"/>
      <c r="L434" s="9" t="str">
        <f aca="false">IF(OR(E434="",H434=""),"",E434*H434)</f>
        <v/>
      </c>
      <c r="M434" s="10" t="str">
        <f aca="false">IF(OR(J434="",H434="",H434=0),"",J434/H434)</f>
        <v/>
      </c>
      <c r="N434" s="10" t="str">
        <f aca="false">IF(OR(J434="",I434="",I434=0),"",J434/I434)</f>
        <v/>
      </c>
      <c r="O434" s="10" t="str">
        <f aca="false">IF(OR(J434="",L434="",L434=0),"",J434/L434)</f>
        <v/>
      </c>
      <c r="P434" s="6"/>
    </row>
    <row r="435" customFormat="false" ht="15" hidden="false" customHeight="false" outlineLevel="0" collapsed="false">
      <c r="A435" s="5"/>
      <c r="B435" s="6"/>
      <c r="C435" s="6"/>
      <c r="D435" s="6"/>
      <c r="E435" s="6"/>
      <c r="F435" s="6"/>
      <c r="G435" s="6"/>
      <c r="H435" s="6"/>
      <c r="I435" s="7"/>
      <c r="J435" s="8"/>
      <c r="K435" s="6"/>
      <c r="L435" s="9" t="str">
        <f aca="false">IF(OR(E435="",H435=""),"",E435*H435)</f>
        <v/>
      </c>
      <c r="M435" s="10" t="str">
        <f aca="false">IF(OR(J435="",H435="",H435=0),"",J435/H435)</f>
        <v/>
      </c>
      <c r="N435" s="10" t="str">
        <f aca="false">IF(OR(J435="",I435="",I435=0),"",J435/I435)</f>
        <v/>
      </c>
      <c r="O435" s="10" t="str">
        <f aca="false">IF(OR(J435="",L435="",L435=0),"",J435/L435)</f>
        <v/>
      </c>
      <c r="P435" s="6"/>
    </row>
    <row r="436" customFormat="false" ht="15" hidden="false" customHeight="false" outlineLevel="0" collapsed="false">
      <c r="A436" s="5"/>
      <c r="B436" s="6"/>
      <c r="C436" s="6"/>
      <c r="D436" s="6"/>
      <c r="E436" s="6"/>
      <c r="F436" s="6"/>
      <c r="G436" s="6"/>
      <c r="H436" s="6"/>
      <c r="I436" s="7"/>
      <c r="J436" s="8"/>
      <c r="K436" s="6"/>
      <c r="L436" s="9" t="str">
        <f aca="false">IF(OR(E436="",H436=""),"",E436*H436)</f>
        <v/>
      </c>
      <c r="M436" s="10" t="str">
        <f aca="false">IF(OR(J436="",H436="",H436=0),"",J436/H436)</f>
        <v/>
      </c>
      <c r="N436" s="10" t="str">
        <f aca="false">IF(OR(J436="",I436="",I436=0),"",J436/I436)</f>
        <v/>
      </c>
      <c r="O436" s="10" t="str">
        <f aca="false">IF(OR(J436="",L436="",L436=0),"",J436/L436)</f>
        <v/>
      </c>
      <c r="P436" s="6"/>
    </row>
    <row r="437" customFormat="false" ht="15" hidden="false" customHeight="false" outlineLevel="0" collapsed="false">
      <c r="A437" s="5"/>
      <c r="B437" s="6"/>
      <c r="C437" s="6"/>
      <c r="D437" s="6"/>
      <c r="E437" s="6"/>
      <c r="F437" s="6"/>
      <c r="G437" s="6"/>
      <c r="H437" s="6"/>
      <c r="I437" s="7"/>
      <c r="J437" s="8"/>
      <c r="K437" s="6"/>
      <c r="L437" s="9" t="str">
        <f aca="false">IF(OR(E437="",H437=""),"",E437*H437)</f>
        <v/>
      </c>
      <c r="M437" s="10" t="str">
        <f aca="false">IF(OR(J437="",H437="",H437=0),"",J437/H437)</f>
        <v/>
      </c>
      <c r="N437" s="10" t="str">
        <f aca="false">IF(OR(J437="",I437="",I437=0),"",J437/I437)</f>
        <v/>
      </c>
      <c r="O437" s="10" t="str">
        <f aca="false">IF(OR(J437="",L437="",L437=0),"",J437/L437)</f>
        <v/>
      </c>
      <c r="P437" s="6"/>
    </row>
    <row r="438" customFormat="false" ht="15" hidden="false" customHeight="false" outlineLevel="0" collapsed="false">
      <c r="A438" s="5"/>
      <c r="B438" s="6"/>
      <c r="C438" s="6"/>
      <c r="D438" s="6"/>
      <c r="E438" s="6"/>
      <c r="F438" s="6"/>
      <c r="G438" s="6"/>
      <c r="H438" s="6"/>
      <c r="I438" s="7"/>
      <c r="J438" s="8"/>
      <c r="K438" s="6"/>
      <c r="L438" s="9" t="str">
        <f aca="false">IF(OR(E438="",H438=""),"",E438*H438)</f>
        <v/>
      </c>
      <c r="M438" s="10" t="str">
        <f aca="false">IF(OR(J438="",H438="",H438=0),"",J438/H438)</f>
        <v/>
      </c>
      <c r="N438" s="10" t="str">
        <f aca="false">IF(OR(J438="",I438="",I438=0),"",J438/I438)</f>
        <v/>
      </c>
      <c r="O438" s="10" t="str">
        <f aca="false">IF(OR(J438="",L438="",L438=0),"",J438/L438)</f>
        <v/>
      </c>
      <c r="P438" s="6"/>
    </row>
    <row r="439" customFormat="false" ht="15" hidden="false" customHeight="false" outlineLevel="0" collapsed="false">
      <c r="A439" s="5"/>
      <c r="B439" s="6"/>
      <c r="C439" s="6"/>
      <c r="D439" s="6"/>
      <c r="E439" s="6"/>
      <c r="F439" s="6"/>
      <c r="G439" s="6"/>
      <c r="H439" s="6"/>
      <c r="I439" s="7"/>
      <c r="J439" s="8"/>
      <c r="K439" s="6"/>
      <c r="L439" s="9" t="str">
        <f aca="false">IF(OR(E439="",H439=""),"",E439*H439)</f>
        <v/>
      </c>
      <c r="M439" s="10" t="str">
        <f aca="false">IF(OR(J439="",H439="",H439=0),"",J439/H439)</f>
        <v/>
      </c>
      <c r="N439" s="10" t="str">
        <f aca="false">IF(OR(J439="",I439="",I439=0),"",J439/I439)</f>
        <v/>
      </c>
      <c r="O439" s="10" t="str">
        <f aca="false">IF(OR(J439="",L439="",L439=0),"",J439/L439)</f>
        <v/>
      </c>
      <c r="P439" s="6"/>
    </row>
    <row r="440" customFormat="false" ht="15" hidden="false" customHeight="false" outlineLevel="0" collapsed="false">
      <c r="A440" s="5"/>
      <c r="B440" s="6"/>
      <c r="C440" s="6"/>
      <c r="D440" s="6"/>
      <c r="E440" s="6"/>
      <c r="F440" s="6"/>
      <c r="G440" s="6"/>
      <c r="H440" s="6"/>
      <c r="I440" s="7"/>
      <c r="J440" s="8"/>
      <c r="K440" s="6"/>
      <c r="L440" s="9" t="str">
        <f aca="false">IF(OR(E440="",H440=""),"",E440*H440)</f>
        <v/>
      </c>
      <c r="M440" s="10" t="str">
        <f aca="false">IF(OR(J440="",H440="",H440=0),"",J440/H440)</f>
        <v/>
      </c>
      <c r="N440" s="10" t="str">
        <f aca="false">IF(OR(J440="",I440="",I440=0),"",J440/I440)</f>
        <v/>
      </c>
      <c r="O440" s="10" t="str">
        <f aca="false">IF(OR(J440="",L440="",L440=0),"",J440/L440)</f>
        <v/>
      </c>
      <c r="P440" s="6"/>
    </row>
    <row r="441" customFormat="false" ht="15" hidden="false" customHeight="false" outlineLevel="0" collapsed="false">
      <c r="A441" s="5"/>
      <c r="B441" s="6"/>
      <c r="C441" s="6"/>
      <c r="D441" s="6"/>
      <c r="E441" s="6"/>
      <c r="F441" s="6"/>
      <c r="G441" s="6"/>
      <c r="H441" s="6"/>
      <c r="I441" s="7"/>
      <c r="J441" s="8"/>
      <c r="K441" s="6"/>
      <c r="L441" s="9" t="str">
        <f aca="false">IF(OR(E441="",H441=""),"",E441*H441)</f>
        <v/>
      </c>
      <c r="M441" s="10" t="str">
        <f aca="false">IF(OR(J441="",H441="",H441=0),"",J441/H441)</f>
        <v/>
      </c>
      <c r="N441" s="10" t="str">
        <f aca="false">IF(OR(J441="",I441="",I441=0),"",J441/I441)</f>
        <v/>
      </c>
      <c r="O441" s="10" t="str">
        <f aca="false">IF(OR(J441="",L441="",L441=0),"",J441/L441)</f>
        <v/>
      </c>
      <c r="P441" s="6"/>
    </row>
    <row r="442" customFormat="false" ht="15" hidden="false" customHeight="false" outlineLevel="0" collapsed="false">
      <c r="A442" s="5"/>
      <c r="B442" s="6"/>
      <c r="C442" s="6"/>
      <c r="D442" s="6"/>
      <c r="E442" s="6"/>
      <c r="F442" s="6"/>
      <c r="G442" s="6"/>
      <c r="H442" s="6"/>
      <c r="I442" s="7"/>
      <c r="J442" s="8"/>
      <c r="K442" s="6"/>
      <c r="L442" s="9" t="str">
        <f aca="false">IF(OR(E442="",H442=""),"",E442*H442)</f>
        <v/>
      </c>
      <c r="M442" s="10" t="str">
        <f aca="false">IF(OR(J442="",H442="",H442=0),"",J442/H442)</f>
        <v/>
      </c>
      <c r="N442" s="10" t="str">
        <f aca="false">IF(OR(J442="",I442="",I442=0),"",J442/I442)</f>
        <v/>
      </c>
      <c r="O442" s="10" t="str">
        <f aca="false">IF(OR(J442="",L442="",L442=0),"",J442/L442)</f>
        <v/>
      </c>
      <c r="P442" s="6"/>
    </row>
    <row r="443" customFormat="false" ht="15" hidden="false" customHeight="false" outlineLevel="0" collapsed="false">
      <c r="A443" s="5"/>
      <c r="B443" s="6"/>
      <c r="C443" s="6"/>
      <c r="D443" s="6"/>
      <c r="E443" s="6"/>
      <c r="F443" s="6"/>
      <c r="G443" s="6"/>
      <c r="H443" s="6"/>
      <c r="I443" s="7"/>
      <c r="J443" s="8"/>
      <c r="K443" s="6"/>
      <c r="L443" s="9" t="str">
        <f aca="false">IF(OR(E443="",H443=""),"",E443*H443)</f>
        <v/>
      </c>
      <c r="M443" s="10" t="str">
        <f aca="false">IF(OR(J443="",H443="",H443=0),"",J443/H443)</f>
        <v/>
      </c>
      <c r="N443" s="10" t="str">
        <f aca="false">IF(OR(J443="",I443="",I443=0),"",J443/I443)</f>
        <v/>
      </c>
      <c r="O443" s="10" t="str">
        <f aca="false">IF(OR(J443="",L443="",L443=0),"",J443/L443)</f>
        <v/>
      </c>
      <c r="P443" s="6"/>
    </row>
    <row r="444" customFormat="false" ht="15" hidden="false" customHeight="false" outlineLevel="0" collapsed="false">
      <c r="A444" s="5"/>
      <c r="B444" s="6"/>
      <c r="C444" s="6"/>
      <c r="D444" s="6"/>
      <c r="E444" s="6"/>
      <c r="F444" s="6"/>
      <c r="G444" s="6"/>
      <c r="H444" s="6"/>
      <c r="I444" s="7"/>
      <c r="J444" s="8"/>
      <c r="K444" s="6"/>
      <c r="L444" s="9" t="str">
        <f aca="false">IF(OR(E444="",H444=""),"",E444*H444)</f>
        <v/>
      </c>
      <c r="M444" s="10" t="str">
        <f aca="false">IF(OR(J444="",H444="",H444=0),"",J444/H444)</f>
        <v/>
      </c>
      <c r="N444" s="10" t="str">
        <f aca="false">IF(OR(J444="",I444="",I444=0),"",J444/I444)</f>
        <v/>
      </c>
      <c r="O444" s="10" t="str">
        <f aca="false">IF(OR(J444="",L444="",L444=0),"",J444/L444)</f>
        <v/>
      </c>
      <c r="P444" s="6"/>
    </row>
    <row r="445" customFormat="false" ht="15" hidden="false" customHeight="false" outlineLevel="0" collapsed="false">
      <c r="A445" s="5"/>
      <c r="B445" s="6"/>
      <c r="C445" s="6"/>
      <c r="D445" s="6"/>
      <c r="E445" s="6"/>
      <c r="F445" s="6"/>
      <c r="G445" s="6"/>
      <c r="H445" s="6"/>
      <c r="I445" s="7"/>
      <c r="J445" s="8"/>
      <c r="K445" s="6"/>
      <c r="L445" s="9" t="str">
        <f aca="false">IF(OR(E445="",H445=""),"",E445*H445)</f>
        <v/>
      </c>
      <c r="M445" s="10" t="str">
        <f aca="false">IF(OR(J445="",H445="",H445=0),"",J445/H445)</f>
        <v/>
      </c>
      <c r="N445" s="10" t="str">
        <f aca="false">IF(OR(J445="",I445="",I445=0),"",J445/I445)</f>
        <v/>
      </c>
      <c r="O445" s="10" t="str">
        <f aca="false">IF(OR(J445="",L445="",L445=0),"",J445/L445)</f>
        <v/>
      </c>
      <c r="P445" s="6"/>
    </row>
    <row r="446" customFormat="false" ht="15" hidden="false" customHeight="false" outlineLevel="0" collapsed="false">
      <c r="A446" s="5"/>
      <c r="B446" s="6"/>
      <c r="C446" s="6"/>
      <c r="D446" s="6"/>
      <c r="E446" s="6"/>
      <c r="F446" s="6"/>
      <c r="G446" s="6"/>
      <c r="H446" s="6"/>
      <c r="I446" s="7"/>
      <c r="J446" s="8"/>
      <c r="K446" s="6"/>
      <c r="L446" s="9" t="str">
        <f aca="false">IF(OR(E446="",H446=""),"",E446*H446)</f>
        <v/>
      </c>
      <c r="M446" s="10" t="str">
        <f aca="false">IF(OR(J446="",H446="",H446=0),"",J446/H446)</f>
        <v/>
      </c>
      <c r="N446" s="10" t="str">
        <f aca="false">IF(OR(J446="",I446="",I446=0),"",J446/I446)</f>
        <v/>
      </c>
      <c r="O446" s="10" t="str">
        <f aca="false">IF(OR(J446="",L446="",L446=0),"",J446/L446)</f>
        <v/>
      </c>
      <c r="P446" s="6"/>
    </row>
    <row r="447" customFormat="false" ht="15" hidden="false" customHeight="false" outlineLevel="0" collapsed="false">
      <c r="A447" s="5"/>
      <c r="B447" s="6"/>
      <c r="C447" s="6"/>
      <c r="D447" s="6"/>
      <c r="E447" s="6"/>
      <c r="F447" s="6"/>
      <c r="G447" s="6"/>
      <c r="H447" s="6"/>
      <c r="I447" s="7"/>
      <c r="J447" s="8"/>
      <c r="K447" s="6"/>
      <c r="L447" s="9" t="str">
        <f aca="false">IF(OR(E447="",H447=""),"",E447*H447)</f>
        <v/>
      </c>
      <c r="M447" s="10" t="str">
        <f aca="false">IF(OR(J447="",H447="",H447=0),"",J447/H447)</f>
        <v/>
      </c>
      <c r="N447" s="10" t="str">
        <f aca="false">IF(OR(J447="",I447="",I447=0),"",J447/I447)</f>
        <v/>
      </c>
      <c r="O447" s="10" t="str">
        <f aca="false">IF(OR(J447="",L447="",L447=0),"",J447/L447)</f>
        <v/>
      </c>
      <c r="P447" s="6"/>
    </row>
    <row r="448" customFormat="false" ht="15" hidden="false" customHeight="false" outlineLevel="0" collapsed="false">
      <c r="A448" s="5"/>
      <c r="B448" s="6"/>
      <c r="C448" s="6"/>
      <c r="D448" s="6"/>
      <c r="E448" s="6"/>
      <c r="F448" s="6"/>
      <c r="G448" s="6"/>
      <c r="H448" s="6"/>
      <c r="I448" s="7"/>
      <c r="J448" s="8"/>
      <c r="K448" s="6"/>
      <c r="L448" s="9" t="str">
        <f aca="false">IF(OR(E448="",H448=""),"",E448*H448)</f>
        <v/>
      </c>
      <c r="M448" s="10" t="str">
        <f aca="false">IF(OR(J448="",H448="",H448=0),"",J448/H448)</f>
        <v/>
      </c>
      <c r="N448" s="10" t="str">
        <f aca="false">IF(OR(J448="",I448="",I448=0),"",J448/I448)</f>
        <v/>
      </c>
      <c r="O448" s="10" t="str">
        <f aca="false">IF(OR(J448="",L448="",L448=0),"",J448/L448)</f>
        <v/>
      </c>
      <c r="P448" s="6"/>
    </row>
    <row r="449" customFormat="false" ht="15" hidden="false" customHeight="false" outlineLevel="0" collapsed="false">
      <c r="A449" s="5"/>
      <c r="B449" s="6"/>
      <c r="C449" s="6"/>
      <c r="D449" s="6"/>
      <c r="E449" s="6"/>
      <c r="F449" s="6"/>
      <c r="G449" s="6"/>
      <c r="H449" s="6"/>
      <c r="I449" s="7"/>
      <c r="J449" s="8"/>
      <c r="K449" s="6"/>
      <c r="L449" s="9" t="str">
        <f aca="false">IF(OR(E449="",H449=""),"",E449*H449)</f>
        <v/>
      </c>
      <c r="M449" s="10" t="str">
        <f aca="false">IF(OR(J449="",H449="",H449=0),"",J449/H449)</f>
        <v/>
      </c>
      <c r="N449" s="10" t="str">
        <f aca="false">IF(OR(J449="",I449="",I449=0),"",J449/I449)</f>
        <v/>
      </c>
      <c r="O449" s="10" t="str">
        <f aca="false">IF(OR(J449="",L449="",L449=0),"",J449/L449)</f>
        <v/>
      </c>
      <c r="P449" s="6"/>
    </row>
    <row r="450" customFormat="false" ht="15" hidden="false" customHeight="false" outlineLevel="0" collapsed="false">
      <c r="A450" s="5"/>
      <c r="B450" s="6"/>
      <c r="C450" s="6"/>
      <c r="D450" s="6"/>
      <c r="E450" s="6"/>
      <c r="F450" s="6"/>
      <c r="G450" s="6"/>
      <c r="H450" s="6"/>
      <c r="I450" s="7"/>
      <c r="J450" s="8"/>
      <c r="K450" s="6"/>
      <c r="L450" s="9" t="str">
        <f aca="false">IF(OR(E450="",H450=""),"",E450*H450)</f>
        <v/>
      </c>
      <c r="M450" s="10" t="str">
        <f aca="false">IF(OR(J450="",H450="",H450=0),"",J450/H450)</f>
        <v/>
      </c>
      <c r="N450" s="10" t="str">
        <f aca="false">IF(OR(J450="",I450="",I450=0),"",J450/I450)</f>
        <v/>
      </c>
      <c r="O450" s="10" t="str">
        <f aca="false">IF(OR(J450="",L450="",L450=0),"",J450/L450)</f>
        <v/>
      </c>
      <c r="P450" s="6"/>
    </row>
    <row r="451" customFormat="false" ht="15" hidden="false" customHeight="false" outlineLevel="0" collapsed="false">
      <c r="A451" s="5"/>
      <c r="B451" s="6"/>
      <c r="C451" s="6"/>
      <c r="D451" s="6"/>
      <c r="E451" s="6"/>
      <c r="F451" s="6"/>
      <c r="G451" s="6"/>
      <c r="H451" s="6"/>
      <c r="I451" s="7"/>
      <c r="J451" s="8"/>
      <c r="K451" s="6"/>
      <c r="L451" s="9" t="str">
        <f aca="false">IF(OR(E451="",H451=""),"",E451*H451)</f>
        <v/>
      </c>
      <c r="M451" s="10" t="str">
        <f aca="false">IF(OR(J451="",H451="",H451=0),"",J451/H451)</f>
        <v/>
      </c>
      <c r="N451" s="10" t="str">
        <f aca="false">IF(OR(J451="",I451="",I451=0),"",J451/I451)</f>
        <v/>
      </c>
      <c r="O451" s="10" t="str">
        <f aca="false">IF(OR(J451="",L451="",L451=0),"",J451/L451)</f>
        <v/>
      </c>
      <c r="P451" s="6"/>
    </row>
    <row r="452" customFormat="false" ht="15" hidden="false" customHeight="false" outlineLevel="0" collapsed="false">
      <c r="A452" s="5"/>
      <c r="B452" s="6"/>
      <c r="C452" s="6"/>
      <c r="D452" s="6"/>
      <c r="E452" s="6"/>
      <c r="F452" s="6"/>
      <c r="G452" s="6"/>
      <c r="H452" s="6"/>
      <c r="I452" s="7"/>
      <c r="J452" s="8"/>
      <c r="K452" s="6"/>
      <c r="L452" s="9" t="str">
        <f aca="false">IF(OR(E452="",H452=""),"",E452*H452)</f>
        <v/>
      </c>
      <c r="M452" s="10" t="str">
        <f aca="false">IF(OR(J452="",H452="",H452=0),"",J452/H452)</f>
        <v/>
      </c>
      <c r="N452" s="10" t="str">
        <f aca="false">IF(OR(J452="",I452="",I452=0),"",J452/I452)</f>
        <v/>
      </c>
      <c r="O452" s="10" t="str">
        <f aca="false">IF(OR(J452="",L452="",L452=0),"",J452/L452)</f>
        <v/>
      </c>
      <c r="P452" s="6"/>
    </row>
    <row r="453" customFormat="false" ht="15" hidden="false" customHeight="false" outlineLevel="0" collapsed="false">
      <c r="A453" s="5"/>
      <c r="B453" s="6"/>
      <c r="C453" s="6"/>
      <c r="D453" s="6"/>
      <c r="E453" s="6"/>
      <c r="F453" s="6"/>
      <c r="G453" s="6"/>
      <c r="H453" s="6"/>
      <c r="I453" s="7"/>
      <c r="J453" s="8"/>
      <c r="K453" s="6"/>
      <c r="L453" s="9" t="str">
        <f aca="false">IF(OR(E453="",H453=""),"",E453*H453)</f>
        <v/>
      </c>
      <c r="M453" s="10" t="str">
        <f aca="false">IF(OR(J453="",H453="",H453=0),"",J453/H453)</f>
        <v/>
      </c>
      <c r="N453" s="10" t="str">
        <f aca="false">IF(OR(J453="",I453="",I453=0),"",J453/I453)</f>
        <v/>
      </c>
      <c r="O453" s="10" t="str">
        <f aca="false">IF(OR(J453="",L453="",L453=0),"",J453/L453)</f>
        <v/>
      </c>
      <c r="P453" s="6"/>
    </row>
    <row r="454" customFormat="false" ht="15" hidden="false" customHeight="false" outlineLevel="0" collapsed="false">
      <c r="A454" s="5"/>
      <c r="B454" s="6"/>
      <c r="C454" s="6"/>
      <c r="D454" s="6"/>
      <c r="E454" s="6"/>
      <c r="F454" s="6"/>
      <c r="G454" s="6"/>
      <c r="H454" s="6"/>
      <c r="I454" s="7"/>
      <c r="J454" s="8"/>
      <c r="K454" s="6"/>
      <c r="L454" s="9" t="str">
        <f aca="false">IF(OR(E454="",H454=""),"",E454*H454)</f>
        <v/>
      </c>
      <c r="M454" s="10" t="str">
        <f aca="false">IF(OR(J454="",H454="",H454=0),"",J454/H454)</f>
        <v/>
      </c>
      <c r="N454" s="10" t="str">
        <f aca="false">IF(OR(J454="",I454="",I454=0),"",J454/I454)</f>
        <v/>
      </c>
      <c r="O454" s="10" t="str">
        <f aca="false">IF(OR(J454="",L454="",L454=0),"",J454/L454)</f>
        <v/>
      </c>
      <c r="P454" s="6"/>
    </row>
    <row r="455" customFormat="false" ht="15" hidden="false" customHeight="false" outlineLevel="0" collapsed="false">
      <c r="A455" s="5"/>
      <c r="B455" s="6"/>
      <c r="C455" s="6"/>
      <c r="D455" s="6"/>
      <c r="E455" s="6"/>
      <c r="F455" s="6"/>
      <c r="G455" s="6"/>
      <c r="H455" s="6"/>
      <c r="I455" s="7"/>
      <c r="J455" s="8"/>
      <c r="K455" s="6"/>
      <c r="L455" s="9" t="str">
        <f aca="false">IF(OR(E455="",H455=""),"",E455*H455)</f>
        <v/>
      </c>
      <c r="M455" s="10" t="str">
        <f aca="false">IF(OR(J455="",H455="",H455=0),"",J455/H455)</f>
        <v/>
      </c>
      <c r="N455" s="10" t="str">
        <f aca="false">IF(OR(J455="",I455="",I455=0),"",J455/I455)</f>
        <v/>
      </c>
      <c r="O455" s="10" t="str">
        <f aca="false">IF(OR(J455="",L455="",L455=0),"",J455/L455)</f>
        <v/>
      </c>
      <c r="P455" s="6"/>
    </row>
    <row r="456" customFormat="false" ht="15" hidden="false" customHeight="false" outlineLevel="0" collapsed="false">
      <c r="A456" s="5"/>
      <c r="B456" s="6"/>
      <c r="C456" s="6"/>
      <c r="D456" s="6"/>
      <c r="E456" s="6"/>
      <c r="F456" s="6"/>
      <c r="G456" s="6"/>
      <c r="H456" s="6"/>
      <c r="I456" s="7"/>
      <c r="J456" s="8"/>
      <c r="K456" s="6"/>
      <c r="L456" s="9" t="str">
        <f aca="false">IF(OR(E456="",H456=""),"",E456*H456)</f>
        <v/>
      </c>
      <c r="M456" s="10" t="str">
        <f aca="false">IF(OR(J456="",H456="",H456=0),"",J456/H456)</f>
        <v/>
      </c>
      <c r="N456" s="10" t="str">
        <f aca="false">IF(OR(J456="",I456="",I456=0),"",J456/I456)</f>
        <v/>
      </c>
      <c r="O456" s="10" t="str">
        <f aca="false">IF(OR(J456="",L456="",L456=0),"",J456/L456)</f>
        <v/>
      </c>
      <c r="P456" s="6"/>
    </row>
    <row r="457" customFormat="false" ht="15" hidden="false" customHeight="false" outlineLevel="0" collapsed="false">
      <c r="A457" s="5"/>
      <c r="B457" s="6"/>
      <c r="C457" s="6"/>
      <c r="D457" s="6"/>
      <c r="E457" s="6"/>
      <c r="F457" s="6"/>
      <c r="G457" s="6"/>
      <c r="H457" s="6"/>
      <c r="I457" s="7"/>
      <c r="J457" s="8"/>
      <c r="K457" s="6"/>
      <c r="L457" s="9" t="str">
        <f aca="false">IF(OR(E457="",H457=""),"",E457*H457)</f>
        <v/>
      </c>
      <c r="M457" s="10" t="str">
        <f aca="false">IF(OR(J457="",H457="",H457=0),"",J457/H457)</f>
        <v/>
      </c>
      <c r="N457" s="10" t="str">
        <f aca="false">IF(OR(J457="",I457="",I457=0),"",J457/I457)</f>
        <v/>
      </c>
      <c r="O457" s="10" t="str">
        <f aca="false">IF(OR(J457="",L457="",L457=0),"",J457/L457)</f>
        <v/>
      </c>
      <c r="P457" s="6"/>
    </row>
    <row r="458" customFormat="false" ht="15" hidden="false" customHeight="false" outlineLevel="0" collapsed="false">
      <c r="A458" s="5"/>
      <c r="B458" s="6"/>
      <c r="C458" s="6"/>
      <c r="D458" s="6"/>
      <c r="E458" s="6"/>
      <c r="F458" s="6"/>
      <c r="G458" s="6"/>
      <c r="H458" s="6"/>
      <c r="I458" s="7"/>
      <c r="J458" s="8"/>
      <c r="K458" s="6"/>
      <c r="L458" s="9" t="str">
        <f aca="false">IF(OR(E458="",H458=""),"",E458*H458)</f>
        <v/>
      </c>
      <c r="M458" s="10" t="str">
        <f aca="false">IF(OR(J458="",H458="",H458=0),"",J458/H458)</f>
        <v/>
      </c>
      <c r="N458" s="10" t="str">
        <f aca="false">IF(OR(J458="",I458="",I458=0),"",J458/I458)</f>
        <v/>
      </c>
      <c r="O458" s="10" t="str">
        <f aca="false">IF(OR(J458="",L458="",L458=0),"",J458/L458)</f>
        <v/>
      </c>
      <c r="P458" s="6"/>
    </row>
    <row r="459" customFormat="false" ht="15" hidden="false" customHeight="false" outlineLevel="0" collapsed="false">
      <c r="A459" s="5"/>
      <c r="B459" s="6"/>
      <c r="C459" s="6"/>
      <c r="D459" s="6"/>
      <c r="E459" s="6"/>
      <c r="F459" s="6"/>
      <c r="G459" s="6"/>
      <c r="H459" s="6"/>
      <c r="I459" s="7"/>
      <c r="J459" s="8"/>
      <c r="K459" s="6"/>
      <c r="L459" s="9" t="str">
        <f aca="false">IF(OR(E459="",H459=""),"",E459*H459)</f>
        <v/>
      </c>
      <c r="M459" s="10" t="str">
        <f aca="false">IF(OR(J459="",H459="",H459=0),"",J459/H459)</f>
        <v/>
      </c>
      <c r="N459" s="10" t="str">
        <f aca="false">IF(OR(J459="",I459="",I459=0),"",J459/I459)</f>
        <v/>
      </c>
      <c r="O459" s="10" t="str">
        <f aca="false">IF(OR(J459="",L459="",L459=0),"",J459/L459)</f>
        <v/>
      </c>
      <c r="P459" s="6"/>
    </row>
    <row r="460" customFormat="false" ht="15" hidden="false" customHeight="false" outlineLevel="0" collapsed="false">
      <c r="A460" s="5"/>
      <c r="B460" s="6"/>
      <c r="C460" s="6"/>
      <c r="D460" s="6"/>
      <c r="E460" s="6"/>
      <c r="F460" s="6"/>
      <c r="G460" s="6"/>
      <c r="H460" s="6"/>
      <c r="I460" s="7"/>
      <c r="J460" s="8"/>
      <c r="K460" s="6"/>
      <c r="L460" s="9" t="str">
        <f aca="false">IF(OR(E460="",H460=""),"",E460*H460)</f>
        <v/>
      </c>
      <c r="M460" s="10" t="str">
        <f aca="false">IF(OR(J460="",H460="",H460=0),"",J460/H460)</f>
        <v/>
      </c>
      <c r="N460" s="10" t="str">
        <f aca="false">IF(OR(J460="",I460="",I460=0),"",J460/I460)</f>
        <v/>
      </c>
      <c r="O460" s="10" t="str">
        <f aca="false">IF(OR(J460="",L460="",L460=0),"",J460/L460)</f>
        <v/>
      </c>
      <c r="P460" s="6"/>
    </row>
    <row r="461" customFormat="false" ht="15" hidden="false" customHeight="false" outlineLevel="0" collapsed="false">
      <c r="A461" s="5"/>
      <c r="B461" s="6"/>
      <c r="C461" s="6"/>
      <c r="D461" s="6"/>
      <c r="E461" s="6"/>
      <c r="F461" s="6"/>
      <c r="G461" s="6"/>
      <c r="H461" s="6"/>
      <c r="I461" s="7"/>
      <c r="J461" s="8"/>
      <c r="K461" s="6"/>
      <c r="L461" s="9" t="str">
        <f aca="false">IF(OR(E461="",H461=""),"",E461*H461)</f>
        <v/>
      </c>
      <c r="M461" s="10" t="str">
        <f aca="false">IF(OR(J461="",H461="",H461=0),"",J461/H461)</f>
        <v/>
      </c>
      <c r="N461" s="10" t="str">
        <f aca="false">IF(OR(J461="",I461="",I461=0),"",J461/I461)</f>
        <v/>
      </c>
      <c r="O461" s="10" t="str">
        <f aca="false">IF(OR(J461="",L461="",L461=0),"",J461/L461)</f>
        <v/>
      </c>
      <c r="P461" s="6"/>
    </row>
    <row r="462" customFormat="false" ht="15" hidden="false" customHeight="false" outlineLevel="0" collapsed="false">
      <c r="A462" s="5"/>
      <c r="B462" s="6"/>
      <c r="C462" s="6"/>
      <c r="D462" s="6"/>
      <c r="E462" s="6"/>
      <c r="F462" s="6"/>
      <c r="G462" s="6"/>
      <c r="H462" s="6"/>
      <c r="I462" s="7"/>
      <c r="J462" s="8"/>
      <c r="K462" s="6"/>
      <c r="L462" s="9" t="str">
        <f aca="false">IF(OR(E462="",H462=""),"",E462*H462)</f>
        <v/>
      </c>
      <c r="M462" s="10" t="str">
        <f aca="false">IF(OR(J462="",H462="",H462=0),"",J462/H462)</f>
        <v/>
      </c>
      <c r="N462" s="10" t="str">
        <f aca="false">IF(OR(J462="",I462="",I462=0),"",J462/I462)</f>
        <v/>
      </c>
      <c r="O462" s="10" t="str">
        <f aca="false">IF(OR(J462="",L462="",L462=0),"",J462/L462)</f>
        <v/>
      </c>
      <c r="P462" s="6"/>
    </row>
    <row r="463" customFormat="false" ht="15" hidden="false" customHeight="false" outlineLevel="0" collapsed="false">
      <c r="A463" s="5"/>
      <c r="B463" s="6"/>
      <c r="C463" s="6"/>
      <c r="D463" s="6"/>
      <c r="E463" s="6"/>
      <c r="F463" s="6"/>
      <c r="G463" s="6"/>
      <c r="H463" s="6"/>
      <c r="I463" s="7"/>
      <c r="J463" s="8"/>
      <c r="K463" s="6"/>
      <c r="L463" s="9" t="str">
        <f aca="false">IF(OR(E463="",H463=""),"",E463*H463)</f>
        <v/>
      </c>
      <c r="M463" s="10" t="str">
        <f aca="false">IF(OR(J463="",H463="",H463=0),"",J463/H463)</f>
        <v/>
      </c>
      <c r="N463" s="10" t="str">
        <f aca="false">IF(OR(J463="",I463="",I463=0),"",J463/I463)</f>
        <v/>
      </c>
      <c r="O463" s="10" t="str">
        <f aca="false">IF(OR(J463="",L463="",L463=0),"",J463/L463)</f>
        <v/>
      </c>
      <c r="P463" s="6"/>
    </row>
    <row r="464" customFormat="false" ht="15" hidden="false" customHeight="false" outlineLevel="0" collapsed="false">
      <c r="A464" s="5"/>
      <c r="B464" s="6"/>
      <c r="C464" s="6"/>
      <c r="D464" s="6"/>
      <c r="E464" s="6"/>
      <c r="F464" s="6"/>
      <c r="G464" s="6"/>
      <c r="H464" s="6"/>
      <c r="I464" s="7"/>
      <c r="J464" s="8"/>
      <c r="K464" s="6"/>
      <c r="L464" s="9" t="str">
        <f aca="false">IF(OR(E464="",H464=""),"",E464*H464)</f>
        <v/>
      </c>
      <c r="M464" s="10" t="str">
        <f aca="false">IF(OR(J464="",H464="",H464=0),"",J464/H464)</f>
        <v/>
      </c>
      <c r="N464" s="10" t="str">
        <f aca="false">IF(OR(J464="",I464="",I464=0),"",J464/I464)</f>
        <v/>
      </c>
      <c r="O464" s="10" t="str">
        <f aca="false">IF(OR(J464="",L464="",L464=0),"",J464/L464)</f>
        <v/>
      </c>
      <c r="P464" s="6"/>
    </row>
    <row r="465" customFormat="false" ht="15" hidden="false" customHeight="false" outlineLevel="0" collapsed="false">
      <c r="A465" s="5"/>
      <c r="B465" s="6"/>
      <c r="C465" s="6"/>
      <c r="D465" s="6"/>
      <c r="E465" s="6"/>
      <c r="F465" s="6"/>
      <c r="G465" s="6"/>
      <c r="H465" s="6"/>
      <c r="I465" s="7"/>
      <c r="J465" s="8"/>
      <c r="K465" s="6"/>
      <c r="L465" s="9" t="str">
        <f aca="false">IF(OR(E465="",H465=""),"",E465*H465)</f>
        <v/>
      </c>
      <c r="M465" s="10" t="str">
        <f aca="false">IF(OR(J465="",H465="",H465=0),"",J465/H465)</f>
        <v/>
      </c>
      <c r="N465" s="10" t="str">
        <f aca="false">IF(OR(J465="",I465="",I465=0),"",J465/I465)</f>
        <v/>
      </c>
      <c r="O465" s="10" t="str">
        <f aca="false">IF(OR(J465="",L465="",L465=0),"",J465/L465)</f>
        <v/>
      </c>
      <c r="P465" s="6"/>
    </row>
    <row r="466" customFormat="false" ht="15" hidden="false" customHeight="false" outlineLevel="0" collapsed="false">
      <c r="A466" s="5"/>
      <c r="B466" s="6"/>
      <c r="C466" s="6"/>
      <c r="D466" s="6"/>
      <c r="E466" s="6"/>
      <c r="F466" s="6"/>
      <c r="G466" s="6"/>
      <c r="H466" s="6"/>
      <c r="I466" s="7"/>
      <c r="J466" s="8"/>
      <c r="K466" s="6"/>
      <c r="L466" s="9" t="str">
        <f aca="false">IF(OR(E466="",H466=""),"",E466*H466)</f>
        <v/>
      </c>
      <c r="M466" s="10" t="str">
        <f aca="false">IF(OR(J466="",H466="",H466=0),"",J466/H466)</f>
        <v/>
      </c>
      <c r="N466" s="10" t="str">
        <f aca="false">IF(OR(J466="",I466="",I466=0),"",J466/I466)</f>
        <v/>
      </c>
      <c r="O466" s="10" t="str">
        <f aca="false">IF(OR(J466="",L466="",L466=0),"",J466/L466)</f>
        <v/>
      </c>
      <c r="P466" s="6"/>
    </row>
    <row r="467" customFormat="false" ht="15" hidden="false" customHeight="false" outlineLevel="0" collapsed="false">
      <c r="A467" s="5"/>
      <c r="B467" s="6"/>
      <c r="C467" s="6"/>
      <c r="D467" s="6"/>
      <c r="E467" s="6"/>
      <c r="F467" s="6"/>
      <c r="G467" s="6"/>
      <c r="H467" s="6"/>
      <c r="I467" s="7"/>
      <c r="J467" s="8"/>
      <c r="K467" s="6"/>
      <c r="L467" s="9" t="str">
        <f aca="false">IF(OR(E467="",H467=""),"",E467*H467)</f>
        <v/>
      </c>
      <c r="M467" s="10" t="str">
        <f aca="false">IF(OR(J467="",H467="",H467=0),"",J467/H467)</f>
        <v/>
      </c>
      <c r="N467" s="10" t="str">
        <f aca="false">IF(OR(J467="",I467="",I467=0),"",J467/I467)</f>
        <v/>
      </c>
      <c r="O467" s="10" t="str">
        <f aca="false">IF(OR(J467="",L467="",L467=0),"",J467/L467)</f>
        <v/>
      </c>
      <c r="P467" s="6"/>
    </row>
    <row r="468" customFormat="false" ht="15" hidden="false" customHeight="false" outlineLevel="0" collapsed="false">
      <c r="A468" s="5"/>
      <c r="B468" s="6"/>
      <c r="C468" s="6"/>
      <c r="D468" s="6"/>
      <c r="E468" s="6"/>
      <c r="F468" s="6"/>
      <c r="G468" s="6"/>
      <c r="H468" s="6"/>
      <c r="I468" s="7"/>
      <c r="J468" s="8"/>
      <c r="K468" s="6"/>
      <c r="L468" s="9" t="str">
        <f aca="false">IF(OR(E468="",H468=""),"",E468*H468)</f>
        <v/>
      </c>
      <c r="M468" s="10" t="str">
        <f aca="false">IF(OR(J468="",H468="",H468=0),"",J468/H468)</f>
        <v/>
      </c>
      <c r="N468" s="10" t="str">
        <f aca="false">IF(OR(J468="",I468="",I468=0),"",J468/I468)</f>
        <v/>
      </c>
      <c r="O468" s="10" t="str">
        <f aca="false">IF(OR(J468="",L468="",L468=0),"",J468/L468)</f>
        <v/>
      </c>
      <c r="P468" s="6"/>
    </row>
    <row r="469" customFormat="false" ht="15" hidden="false" customHeight="false" outlineLevel="0" collapsed="false">
      <c r="A469" s="5"/>
      <c r="B469" s="6"/>
      <c r="C469" s="6"/>
      <c r="D469" s="6"/>
      <c r="E469" s="6"/>
      <c r="F469" s="6"/>
      <c r="G469" s="6"/>
      <c r="H469" s="6"/>
      <c r="I469" s="7"/>
      <c r="J469" s="8"/>
      <c r="K469" s="6"/>
      <c r="L469" s="9" t="str">
        <f aca="false">IF(OR(E469="",H469=""),"",E469*H469)</f>
        <v/>
      </c>
      <c r="M469" s="10" t="str">
        <f aca="false">IF(OR(J469="",H469="",H469=0),"",J469/H469)</f>
        <v/>
      </c>
      <c r="N469" s="10" t="str">
        <f aca="false">IF(OR(J469="",I469="",I469=0),"",J469/I469)</f>
        <v/>
      </c>
      <c r="O469" s="10" t="str">
        <f aca="false">IF(OR(J469="",L469="",L469=0),"",J469/L469)</f>
        <v/>
      </c>
      <c r="P469" s="6"/>
    </row>
    <row r="470" customFormat="false" ht="15" hidden="false" customHeight="false" outlineLevel="0" collapsed="false">
      <c r="A470" s="5"/>
      <c r="B470" s="6"/>
      <c r="C470" s="6"/>
      <c r="D470" s="6"/>
      <c r="E470" s="6"/>
      <c r="F470" s="6"/>
      <c r="G470" s="6"/>
      <c r="H470" s="6"/>
      <c r="I470" s="7"/>
      <c r="J470" s="8"/>
      <c r="K470" s="6"/>
      <c r="L470" s="9" t="str">
        <f aca="false">IF(OR(E470="",H470=""),"",E470*H470)</f>
        <v/>
      </c>
      <c r="M470" s="10" t="str">
        <f aca="false">IF(OR(J470="",H470="",H470=0),"",J470/H470)</f>
        <v/>
      </c>
      <c r="N470" s="10" t="str">
        <f aca="false">IF(OR(J470="",I470="",I470=0),"",J470/I470)</f>
        <v/>
      </c>
      <c r="O470" s="10" t="str">
        <f aca="false">IF(OR(J470="",L470="",L470=0),"",J470/L470)</f>
        <v/>
      </c>
      <c r="P470" s="6"/>
    </row>
    <row r="471" customFormat="false" ht="15" hidden="false" customHeight="false" outlineLevel="0" collapsed="false">
      <c r="A471" s="5"/>
      <c r="B471" s="6"/>
      <c r="C471" s="6"/>
      <c r="D471" s="6"/>
      <c r="E471" s="6"/>
      <c r="F471" s="6"/>
      <c r="G471" s="6"/>
      <c r="H471" s="6"/>
      <c r="I471" s="7"/>
      <c r="J471" s="8"/>
      <c r="K471" s="6"/>
      <c r="L471" s="9" t="str">
        <f aca="false">IF(OR(E471="",H471=""),"",E471*H471)</f>
        <v/>
      </c>
      <c r="M471" s="10" t="str">
        <f aca="false">IF(OR(J471="",H471="",H471=0),"",J471/H471)</f>
        <v/>
      </c>
      <c r="N471" s="10" t="str">
        <f aca="false">IF(OR(J471="",I471="",I471=0),"",J471/I471)</f>
        <v/>
      </c>
      <c r="O471" s="10" t="str">
        <f aca="false">IF(OR(J471="",L471="",L471=0),"",J471/L471)</f>
        <v/>
      </c>
      <c r="P471" s="6"/>
    </row>
    <row r="472" customFormat="false" ht="15" hidden="false" customHeight="false" outlineLevel="0" collapsed="false">
      <c r="A472" s="5"/>
      <c r="B472" s="6"/>
      <c r="C472" s="6"/>
      <c r="D472" s="6"/>
      <c r="E472" s="6"/>
      <c r="F472" s="6"/>
      <c r="G472" s="6"/>
      <c r="H472" s="6"/>
      <c r="I472" s="7"/>
      <c r="J472" s="8"/>
      <c r="K472" s="6"/>
      <c r="L472" s="9" t="str">
        <f aca="false">IF(OR(E472="",H472=""),"",E472*H472)</f>
        <v/>
      </c>
      <c r="M472" s="10" t="str">
        <f aca="false">IF(OR(J472="",H472="",H472=0),"",J472/H472)</f>
        <v/>
      </c>
      <c r="N472" s="10" t="str">
        <f aca="false">IF(OR(J472="",I472="",I472=0),"",J472/I472)</f>
        <v/>
      </c>
      <c r="O472" s="10" t="str">
        <f aca="false">IF(OR(J472="",L472="",L472=0),"",J472/L472)</f>
        <v/>
      </c>
      <c r="P472" s="6"/>
    </row>
    <row r="473" customFormat="false" ht="15" hidden="false" customHeight="false" outlineLevel="0" collapsed="false">
      <c r="A473" s="5"/>
      <c r="B473" s="6"/>
      <c r="C473" s="6"/>
      <c r="D473" s="6"/>
      <c r="E473" s="6"/>
      <c r="F473" s="6"/>
      <c r="G473" s="6"/>
      <c r="H473" s="6"/>
      <c r="I473" s="7"/>
      <c r="J473" s="8"/>
      <c r="K473" s="6"/>
      <c r="L473" s="9" t="str">
        <f aca="false">IF(OR(E473="",H473=""),"",E473*H473)</f>
        <v/>
      </c>
      <c r="M473" s="10" t="str">
        <f aca="false">IF(OR(J473="",H473="",H473=0),"",J473/H473)</f>
        <v/>
      </c>
      <c r="N473" s="10" t="str">
        <f aca="false">IF(OR(J473="",I473="",I473=0),"",J473/I473)</f>
        <v/>
      </c>
      <c r="O473" s="10" t="str">
        <f aca="false">IF(OR(J473="",L473="",L473=0),"",J473/L473)</f>
        <v/>
      </c>
      <c r="P473" s="6"/>
    </row>
    <row r="474" customFormat="false" ht="15" hidden="false" customHeight="false" outlineLevel="0" collapsed="false">
      <c r="A474" s="5"/>
      <c r="B474" s="6"/>
      <c r="C474" s="6"/>
      <c r="D474" s="6"/>
      <c r="E474" s="6"/>
      <c r="F474" s="6"/>
      <c r="G474" s="6"/>
      <c r="H474" s="6"/>
      <c r="I474" s="7"/>
      <c r="J474" s="8"/>
      <c r="K474" s="6"/>
      <c r="L474" s="9" t="str">
        <f aca="false">IF(OR(E474="",H474=""),"",E474*H474)</f>
        <v/>
      </c>
      <c r="M474" s="10" t="str">
        <f aca="false">IF(OR(J474="",H474="",H474=0),"",J474/H474)</f>
        <v/>
      </c>
      <c r="N474" s="10" t="str">
        <f aca="false">IF(OR(J474="",I474="",I474=0),"",J474/I474)</f>
        <v/>
      </c>
      <c r="O474" s="10" t="str">
        <f aca="false">IF(OR(J474="",L474="",L474=0),"",J474/L474)</f>
        <v/>
      </c>
      <c r="P474" s="6"/>
    </row>
    <row r="475" customFormat="false" ht="15" hidden="false" customHeight="false" outlineLevel="0" collapsed="false">
      <c r="A475" s="5"/>
      <c r="B475" s="6"/>
      <c r="C475" s="6"/>
      <c r="D475" s="6"/>
      <c r="E475" s="6"/>
      <c r="F475" s="6"/>
      <c r="G475" s="6"/>
      <c r="H475" s="6"/>
      <c r="I475" s="7"/>
      <c r="J475" s="8"/>
      <c r="K475" s="6"/>
      <c r="L475" s="9" t="str">
        <f aca="false">IF(OR(E475="",H475=""),"",E475*H475)</f>
        <v/>
      </c>
      <c r="M475" s="10" t="str">
        <f aca="false">IF(OR(J475="",H475="",H475=0),"",J475/H475)</f>
        <v/>
      </c>
      <c r="N475" s="10" t="str">
        <f aca="false">IF(OR(J475="",I475="",I475=0),"",J475/I475)</f>
        <v/>
      </c>
      <c r="O475" s="10" t="str">
        <f aca="false">IF(OR(J475="",L475="",L475=0),"",J475/L475)</f>
        <v/>
      </c>
      <c r="P475" s="6"/>
    </row>
    <row r="476" customFormat="false" ht="15" hidden="false" customHeight="false" outlineLevel="0" collapsed="false">
      <c r="A476" s="5"/>
      <c r="B476" s="6"/>
      <c r="C476" s="6"/>
      <c r="D476" s="6"/>
      <c r="E476" s="6"/>
      <c r="F476" s="6"/>
      <c r="G476" s="6"/>
      <c r="H476" s="6"/>
      <c r="I476" s="7"/>
      <c r="J476" s="8"/>
      <c r="K476" s="6"/>
      <c r="L476" s="9" t="str">
        <f aca="false">IF(OR(E476="",H476=""),"",E476*H476)</f>
        <v/>
      </c>
      <c r="M476" s="10" t="str">
        <f aca="false">IF(OR(J476="",H476="",H476=0),"",J476/H476)</f>
        <v/>
      </c>
      <c r="N476" s="10" t="str">
        <f aca="false">IF(OR(J476="",I476="",I476=0),"",J476/I476)</f>
        <v/>
      </c>
      <c r="O476" s="10" t="str">
        <f aca="false">IF(OR(J476="",L476="",L476=0),"",J476/L476)</f>
        <v/>
      </c>
      <c r="P476" s="6"/>
    </row>
    <row r="477" customFormat="false" ht="15" hidden="false" customHeight="false" outlineLevel="0" collapsed="false">
      <c r="A477" s="5"/>
      <c r="B477" s="6"/>
      <c r="C477" s="6"/>
      <c r="D477" s="6"/>
      <c r="E477" s="6"/>
      <c r="F477" s="6"/>
      <c r="G477" s="6"/>
      <c r="H477" s="6"/>
      <c r="I477" s="7"/>
      <c r="J477" s="8"/>
      <c r="K477" s="6"/>
      <c r="L477" s="9" t="str">
        <f aca="false">IF(OR(E477="",H477=""),"",E477*H477)</f>
        <v/>
      </c>
      <c r="M477" s="10" t="str">
        <f aca="false">IF(OR(J477="",H477="",H477=0),"",J477/H477)</f>
        <v/>
      </c>
      <c r="N477" s="10" t="str">
        <f aca="false">IF(OR(J477="",I477="",I477=0),"",J477/I477)</f>
        <v/>
      </c>
      <c r="O477" s="10" t="str">
        <f aca="false">IF(OR(J477="",L477="",L477=0),"",J477/L477)</f>
        <v/>
      </c>
      <c r="P477" s="6"/>
    </row>
    <row r="478" customFormat="false" ht="15" hidden="false" customHeight="false" outlineLevel="0" collapsed="false">
      <c r="A478" s="5"/>
      <c r="B478" s="6"/>
      <c r="C478" s="6"/>
      <c r="D478" s="6"/>
      <c r="E478" s="6"/>
      <c r="F478" s="6"/>
      <c r="G478" s="6"/>
      <c r="H478" s="6"/>
      <c r="I478" s="7"/>
      <c r="J478" s="8"/>
      <c r="K478" s="6"/>
      <c r="L478" s="9" t="str">
        <f aca="false">IF(OR(E478="",H478=""),"",E478*H478)</f>
        <v/>
      </c>
      <c r="M478" s="10" t="str">
        <f aca="false">IF(OR(J478="",H478="",H478=0),"",J478/H478)</f>
        <v/>
      </c>
      <c r="N478" s="10" t="str">
        <f aca="false">IF(OR(J478="",I478="",I478=0),"",J478/I478)</f>
        <v/>
      </c>
      <c r="O478" s="10" t="str">
        <f aca="false">IF(OR(J478="",L478="",L478=0),"",J478/L478)</f>
        <v/>
      </c>
      <c r="P478" s="6"/>
    </row>
    <row r="479" customFormat="false" ht="15" hidden="false" customHeight="false" outlineLevel="0" collapsed="false">
      <c r="A479" s="5"/>
      <c r="B479" s="6"/>
      <c r="C479" s="6"/>
      <c r="D479" s="6"/>
      <c r="E479" s="6"/>
      <c r="F479" s="6"/>
      <c r="G479" s="6"/>
      <c r="H479" s="6"/>
      <c r="I479" s="7"/>
      <c r="J479" s="8"/>
      <c r="K479" s="6"/>
      <c r="L479" s="9" t="str">
        <f aca="false">IF(OR(E479="",H479=""),"",E479*H479)</f>
        <v/>
      </c>
      <c r="M479" s="10" t="str">
        <f aca="false">IF(OR(J479="",H479="",H479=0),"",J479/H479)</f>
        <v/>
      </c>
      <c r="N479" s="10" t="str">
        <f aca="false">IF(OR(J479="",I479="",I479=0),"",J479/I479)</f>
        <v/>
      </c>
      <c r="O479" s="10" t="str">
        <f aca="false">IF(OR(J479="",L479="",L479=0),"",J479/L479)</f>
        <v/>
      </c>
      <c r="P479" s="6"/>
    </row>
    <row r="480" customFormat="false" ht="15" hidden="false" customHeight="false" outlineLevel="0" collapsed="false">
      <c r="A480" s="5"/>
      <c r="B480" s="6"/>
      <c r="C480" s="6"/>
      <c r="D480" s="6"/>
      <c r="E480" s="6"/>
      <c r="F480" s="6"/>
      <c r="G480" s="6"/>
      <c r="H480" s="6"/>
      <c r="I480" s="7"/>
      <c r="J480" s="8"/>
      <c r="K480" s="6"/>
      <c r="L480" s="9" t="str">
        <f aca="false">IF(OR(E480="",H480=""),"",E480*H480)</f>
        <v/>
      </c>
      <c r="M480" s="10" t="str">
        <f aca="false">IF(OR(J480="",H480="",H480=0),"",J480/H480)</f>
        <v/>
      </c>
      <c r="N480" s="10" t="str">
        <f aca="false">IF(OR(J480="",I480="",I480=0),"",J480/I480)</f>
        <v/>
      </c>
      <c r="O480" s="10" t="str">
        <f aca="false">IF(OR(J480="",L480="",L480=0),"",J480/L480)</f>
        <v/>
      </c>
      <c r="P480" s="6"/>
    </row>
    <row r="481" customFormat="false" ht="15" hidden="false" customHeight="false" outlineLevel="0" collapsed="false">
      <c r="A481" s="5"/>
      <c r="B481" s="6"/>
      <c r="C481" s="6"/>
      <c r="D481" s="6"/>
      <c r="E481" s="6"/>
      <c r="F481" s="6"/>
      <c r="G481" s="6"/>
      <c r="H481" s="6"/>
      <c r="I481" s="7"/>
      <c r="J481" s="8"/>
      <c r="K481" s="6"/>
      <c r="L481" s="9" t="str">
        <f aca="false">IF(OR(E481="",H481=""),"",E481*H481)</f>
        <v/>
      </c>
      <c r="M481" s="10" t="str">
        <f aca="false">IF(OR(J481="",H481="",H481=0),"",J481/H481)</f>
        <v/>
      </c>
      <c r="N481" s="10" t="str">
        <f aca="false">IF(OR(J481="",I481="",I481=0),"",J481/I481)</f>
        <v/>
      </c>
      <c r="O481" s="10" t="str">
        <f aca="false">IF(OR(J481="",L481="",L481=0),"",J481/L481)</f>
        <v/>
      </c>
      <c r="P481" s="6"/>
    </row>
    <row r="482" customFormat="false" ht="15" hidden="false" customHeight="false" outlineLevel="0" collapsed="false">
      <c r="A482" s="5"/>
      <c r="B482" s="6"/>
      <c r="C482" s="6"/>
      <c r="D482" s="6"/>
      <c r="E482" s="6"/>
      <c r="F482" s="6"/>
      <c r="G482" s="6"/>
      <c r="H482" s="6"/>
      <c r="I482" s="7"/>
      <c r="J482" s="8"/>
      <c r="K482" s="6"/>
      <c r="L482" s="9" t="str">
        <f aca="false">IF(OR(E482="",H482=""),"",E482*H482)</f>
        <v/>
      </c>
      <c r="M482" s="10" t="str">
        <f aca="false">IF(OR(J482="",H482="",H482=0),"",J482/H482)</f>
        <v/>
      </c>
      <c r="N482" s="10" t="str">
        <f aca="false">IF(OR(J482="",I482="",I482=0),"",J482/I482)</f>
        <v/>
      </c>
      <c r="O482" s="10" t="str">
        <f aca="false">IF(OR(J482="",L482="",L482=0),"",J482/L482)</f>
        <v/>
      </c>
      <c r="P482" s="6"/>
    </row>
    <row r="483" customFormat="false" ht="15" hidden="false" customHeight="false" outlineLevel="0" collapsed="false">
      <c r="A483" s="5"/>
      <c r="B483" s="6"/>
      <c r="C483" s="6"/>
      <c r="D483" s="6"/>
      <c r="E483" s="6"/>
      <c r="F483" s="6"/>
      <c r="G483" s="6"/>
      <c r="H483" s="6"/>
      <c r="I483" s="7"/>
      <c r="J483" s="8"/>
      <c r="K483" s="6"/>
      <c r="L483" s="9" t="str">
        <f aca="false">IF(OR(E483="",H483=""),"",E483*H483)</f>
        <v/>
      </c>
      <c r="M483" s="10" t="str">
        <f aca="false">IF(OR(J483="",H483="",H483=0),"",J483/H483)</f>
        <v/>
      </c>
      <c r="N483" s="10" t="str">
        <f aca="false">IF(OR(J483="",I483="",I483=0),"",J483/I483)</f>
        <v/>
      </c>
      <c r="O483" s="10" t="str">
        <f aca="false">IF(OR(J483="",L483="",L483=0),"",J483/L483)</f>
        <v/>
      </c>
      <c r="P483" s="6"/>
    </row>
    <row r="484" customFormat="false" ht="15" hidden="false" customHeight="false" outlineLevel="0" collapsed="false">
      <c r="A484" s="5"/>
      <c r="B484" s="6"/>
      <c r="C484" s="6"/>
      <c r="D484" s="6"/>
      <c r="E484" s="6"/>
      <c r="F484" s="6"/>
      <c r="G484" s="6"/>
      <c r="H484" s="6"/>
      <c r="I484" s="7"/>
      <c r="J484" s="8"/>
      <c r="K484" s="6"/>
      <c r="L484" s="9" t="str">
        <f aca="false">IF(OR(E484="",H484=""),"",E484*H484)</f>
        <v/>
      </c>
      <c r="M484" s="10" t="str">
        <f aca="false">IF(OR(J484="",H484="",H484=0),"",J484/H484)</f>
        <v/>
      </c>
      <c r="N484" s="10" t="str">
        <f aca="false">IF(OR(J484="",I484="",I484=0),"",J484/I484)</f>
        <v/>
      </c>
      <c r="O484" s="10" t="str">
        <f aca="false">IF(OR(J484="",L484="",L484=0),"",J484/L484)</f>
        <v/>
      </c>
      <c r="P484" s="6"/>
    </row>
    <row r="485" customFormat="false" ht="15" hidden="false" customHeight="false" outlineLevel="0" collapsed="false">
      <c r="A485" s="5"/>
      <c r="B485" s="6"/>
      <c r="C485" s="6"/>
      <c r="D485" s="6"/>
      <c r="E485" s="6"/>
      <c r="F485" s="6"/>
      <c r="G485" s="6"/>
      <c r="H485" s="6"/>
      <c r="I485" s="7"/>
      <c r="J485" s="8"/>
      <c r="K485" s="6"/>
      <c r="L485" s="9" t="str">
        <f aca="false">IF(OR(E485="",H485=""),"",E485*H485)</f>
        <v/>
      </c>
      <c r="M485" s="10" t="str">
        <f aca="false">IF(OR(J485="",H485="",H485=0),"",J485/H485)</f>
        <v/>
      </c>
      <c r="N485" s="10" t="str">
        <f aca="false">IF(OR(J485="",I485="",I485=0),"",J485/I485)</f>
        <v/>
      </c>
      <c r="O485" s="10" t="str">
        <f aca="false">IF(OR(J485="",L485="",L485=0),"",J485/L485)</f>
        <v/>
      </c>
      <c r="P485" s="6"/>
    </row>
    <row r="486" customFormat="false" ht="15" hidden="false" customHeight="false" outlineLevel="0" collapsed="false">
      <c r="A486" s="5"/>
      <c r="B486" s="6"/>
      <c r="C486" s="6"/>
      <c r="D486" s="6"/>
      <c r="E486" s="6"/>
      <c r="F486" s="6"/>
      <c r="G486" s="6"/>
      <c r="H486" s="6"/>
      <c r="I486" s="7"/>
      <c r="J486" s="8"/>
      <c r="K486" s="6"/>
      <c r="L486" s="9" t="str">
        <f aca="false">IF(OR(E486="",H486=""),"",E486*H486)</f>
        <v/>
      </c>
      <c r="M486" s="10" t="str">
        <f aca="false">IF(OR(J486="",H486="",H486=0),"",J486/H486)</f>
        <v/>
      </c>
      <c r="N486" s="10" t="str">
        <f aca="false">IF(OR(J486="",I486="",I486=0),"",J486/I486)</f>
        <v/>
      </c>
      <c r="O486" s="10" t="str">
        <f aca="false">IF(OR(J486="",L486="",L486=0),"",J486/L486)</f>
        <v/>
      </c>
      <c r="P486" s="6"/>
    </row>
    <row r="487" customFormat="false" ht="15" hidden="false" customHeight="false" outlineLevel="0" collapsed="false">
      <c r="A487" s="5"/>
      <c r="B487" s="6"/>
      <c r="C487" s="6"/>
      <c r="D487" s="6"/>
      <c r="E487" s="6"/>
      <c r="F487" s="6"/>
      <c r="G487" s="6"/>
      <c r="H487" s="6"/>
      <c r="I487" s="7"/>
      <c r="J487" s="8"/>
      <c r="K487" s="6"/>
      <c r="L487" s="9" t="str">
        <f aca="false">IF(OR(E487="",H487=""),"",E487*H487)</f>
        <v/>
      </c>
      <c r="M487" s="10" t="str">
        <f aca="false">IF(OR(J487="",H487="",H487=0),"",J487/H487)</f>
        <v/>
      </c>
      <c r="N487" s="10" t="str">
        <f aca="false">IF(OR(J487="",I487="",I487=0),"",J487/I487)</f>
        <v/>
      </c>
      <c r="O487" s="10" t="str">
        <f aca="false">IF(OR(J487="",L487="",L487=0),"",J487/L487)</f>
        <v/>
      </c>
      <c r="P487" s="6"/>
    </row>
    <row r="488" customFormat="false" ht="15" hidden="false" customHeight="false" outlineLevel="0" collapsed="false">
      <c r="A488" s="5"/>
      <c r="B488" s="6"/>
      <c r="C488" s="6"/>
      <c r="D488" s="6"/>
      <c r="E488" s="6"/>
      <c r="F488" s="6"/>
      <c r="G488" s="6"/>
      <c r="H488" s="6"/>
      <c r="I488" s="7"/>
      <c r="J488" s="8"/>
      <c r="K488" s="6"/>
      <c r="L488" s="9" t="str">
        <f aca="false">IF(OR(E488="",H488=""),"",E488*H488)</f>
        <v/>
      </c>
      <c r="M488" s="10" t="str">
        <f aca="false">IF(OR(J488="",H488="",H488=0),"",J488/H488)</f>
        <v/>
      </c>
      <c r="N488" s="10" t="str">
        <f aca="false">IF(OR(J488="",I488="",I488=0),"",J488/I488)</f>
        <v/>
      </c>
      <c r="O488" s="10" t="str">
        <f aca="false">IF(OR(J488="",L488="",L488=0),"",J488/L488)</f>
        <v/>
      </c>
      <c r="P488" s="6"/>
    </row>
    <row r="489" customFormat="false" ht="15" hidden="false" customHeight="false" outlineLevel="0" collapsed="false">
      <c r="A489" s="5"/>
      <c r="B489" s="6"/>
      <c r="C489" s="6"/>
      <c r="D489" s="6"/>
      <c r="E489" s="6"/>
      <c r="F489" s="6"/>
      <c r="G489" s="6"/>
      <c r="H489" s="6"/>
      <c r="I489" s="7"/>
      <c r="J489" s="8"/>
      <c r="K489" s="6"/>
      <c r="L489" s="9" t="str">
        <f aca="false">IF(OR(E489="",H489=""),"",E489*H489)</f>
        <v/>
      </c>
      <c r="M489" s="10" t="str">
        <f aca="false">IF(OR(J489="",H489="",H489=0),"",J489/H489)</f>
        <v/>
      </c>
      <c r="N489" s="10" t="str">
        <f aca="false">IF(OR(J489="",I489="",I489=0),"",J489/I489)</f>
        <v/>
      </c>
      <c r="O489" s="10" t="str">
        <f aca="false">IF(OR(J489="",L489="",L489=0),"",J489/L489)</f>
        <v/>
      </c>
      <c r="P489" s="6"/>
    </row>
    <row r="490" customFormat="false" ht="15" hidden="false" customHeight="false" outlineLevel="0" collapsed="false">
      <c r="A490" s="5"/>
      <c r="B490" s="6"/>
      <c r="C490" s="6"/>
      <c r="D490" s="6"/>
      <c r="E490" s="6"/>
      <c r="F490" s="6"/>
      <c r="G490" s="6"/>
      <c r="H490" s="6"/>
      <c r="I490" s="7"/>
      <c r="J490" s="8"/>
      <c r="K490" s="6"/>
      <c r="L490" s="9" t="str">
        <f aca="false">IF(OR(E490="",H490=""),"",E490*H490)</f>
        <v/>
      </c>
      <c r="M490" s="10" t="str">
        <f aca="false">IF(OR(J490="",H490="",H490=0),"",J490/H490)</f>
        <v/>
      </c>
      <c r="N490" s="10" t="str">
        <f aca="false">IF(OR(J490="",I490="",I490=0),"",J490/I490)</f>
        <v/>
      </c>
      <c r="O490" s="10" t="str">
        <f aca="false">IF(OR(J490="",L490="",L490=0),"",J490/L490)</f>
        <v/>
      </c>
      <c r="P490" s="6"/>
    </row>
    <row r="491" customFormat="false" ht="15" hidden="false" customHeight="false" outlineLevel="0" collapsed="false">
      <c r="A491" s="5"/>
      <c r="B491" s="6"/>
      <c r="C491" s="6"/>
      <c r="D491" s="6"/>
      <c r="E491" s="6"/>
      <c r="F491" s="6"/>
      <c r="G491" s="6"/>
      <c r="H491" s="6"/>
      <c r="I491" s="7"/>
      <c r="J491" s="8"/>
      <c r="K491" s="6"/>
      <c r="L491" s="9" t="str">
        <f aca="false">IF(OR(E491="",H491=""),"",E491*H491)</f>
        <v/>
      </c>
      <c r="M491" s="10" t="str">
        <f aca="false">IF(OR(J491="",H491="",H491=0),"",J491/H491)</f>
        <v/>
      </c>
      <c r="N491" s="10" t="str">
        <f aca="false">IF(OR(J491="",I491="",I491=0),"",J491/I491)</f>
        <v/>
      </c>
      <c r="O491" s="10" t="str">
        <f aca="false">IF(OR(J491="",L491="",L491=0),"",J491/L491)</f>
        <v/>
      </c>
      <c r="P491" s="6"/>
    </row>
    <row r="492" customFormat="false" ht="15" hidden="false" customHeight="false" outlineLevel="0" collapsed="false">
      <c r="A492" s="5"/>
      <c r="B492" s="6"/>
      <c r="C492" s="6"/>
      <c r="D492" s="6"/>
      <c r="E492" s="6"/>
      <c r="F492" s="6"/>
      <c r="G492" s="6"/>
      <c r="H492" s="6"/>
      <c r="I492" s="7"/>
      <c r="J492" s="8"/>
      <c r="K492" s="6"/>
      <c r="L492" s="9" t="str">
        <f aca="false">IF(OR(E492="",H492=""),"",E492*H492)</f>
        <v/>
      </c>
      <c r="M492" s="10" t="str">
        <f aca="false">IF(OR(J492="",H492="",H492=0),"",J492/H492)</f>
        <v/>
      </c>
      <c r="N492" s="10" t="str">
        <f aca="false">IF(OR(J492="",I492="",I492=0),"",J492/I492)</f>
        <v/>
      </c>
      <c r="O492" s="10" t="str">
        <f aca="false">IF(OR(J492="",L492="",L492=0),"",J492/L492)</f>
        <v/>
      </c>
      <c r="P492" s="6"/>
    </row>
    <row r="493" customFormat="false" ht="15" hidden="false" customHeight="false" outlineLevel="0" collapsed="false">
      <c r="A493" s="5"/>
      <c r="B493" s="6"/>
      <c r="C493" s="6"/>
      <c r="D493" s="6"/>
      <c r="E493" s="6"/>
      <c r="F493" s="6"/>
      <c r="G493" s="6"/>
      <c r="H493" s="6"/>
      <c r="I493" s="7"/>
      <c r="J493" s="8"/>
      <c r="K493" s="6"/>
      <c r="L493" s="9" t="str">
        <f aca="false">IF(OR(E493="",H493=""),"",E493*H493)</f>
        <v/>
      </c>
      <c r="M493" s="10" t="str">
        <f aca="false">IF(OR(J493="",H493="",H493=0),"",J493/H493)</f>
        <v/>
      </c>
      <c r="N493" s="10" t="str">
        <f aca="false">IF(OR(J493="",I493="",I493=0),"",J493/I493)</f>
        <v/>
      </c>
      <c r="O493" s="10" t="str">
        <f aca="false">IF(OR(J493="",L493="",L493=0),"",J493/L493)</f>
        <v/>
      </c>
      <c r="P493" s="6"/>
    </row>
    <row r="494" customFormat="false" ht="15" hidden="false" customHeight="false" outlineLevel="0" collapsed="false">
      <c r="A494" s="5"/>
      <c r="B494" s="6"/>
      <c r="C494" s="6"/>
      <c r="D494" s="6"/>
      <c r="E494" s="6"/>
      <c r="F494" s="6"/>
      <c r="G494" s="6"/>
      <c r="H494" s="6"/>
      <c r="I494" s="7"/>
      <c r="J494" s="8"/>
      <c r="K494" s="6"/>
      <c r="L494" s="9" t="str">
        <f aca="false">IF(OR(E494="",H494=""),"",E494*H494)</f>
        <v/>
      </c>
      <c r="M494" s="10" t="str">
        <f aca="false">IF(OR(J494="",H494="",H494=0),"",J494/H494)</f>
        <v/>
      </c>
      <c r="N494" s="10" t="str">
        <f aca="false">IF(OR(J494="",I494="",I494=0),"",J494/I494)</f>
        <v/>
      </c>
      <c r="O494" s="10" t="str">
        <f aca="false">IF(OR(J494="",L494="",L494=0),"",J494/L494)</f>
        <v/>
      </c>
      <c r="P494" s="6"/>
    </row>
    <row r="495" customFormat="false" ht="15" hidden="false" customHeight="false" outlineLevel="0" collapsed="false">
      <c r="A495" s="5"/>
      <c r="B495" s="6"/>
      <c r="C495" s="6"/>
      <c r="D495" s="6"/>
      <c r="E495" s="6"/>
      <c r="F495" s="6"/>
      <c r="G495" s="6"/>
      <c r="H495" s="6"/>
      <c r="I495" s="7"/>
      <c r="J495" s="8"/>
      <c r="K495" s="6"/>
      <c r="L495" s="9" t="str">
        <f aca="false">IF(OR(E495="",H495=""),"",E495*H495)</f>
        <v/>
      </c>
      <c r="M495" s="10" t="str">
        <f aca="false">IF(OR(J495="",H495="",H495=0),"",J495/H495)</f>
        <v/>
      </c>
      <c r="N495" s="10" t="str">
        <f aca="false">IF(OR(J495="",I495="",I495=0),"",J495/I495)</f>
        <v/>
      </c>
      <c r="O495" s="10" t="str">
        <f aca="false">IF(OR(J495="",L495="",L495=0),"",J495/L495)</f>
        <v/>
      </c>
      <c r="P495" s="6"/>
    </row>
    <row r="496" customFormat="false" ht="15" hidden="false" customHeight="false" outlineLevel="0" collapsed="false">
      <c r="A496" s="5"/>
      <c r="B496" s="6"/>
      <c r="C496" s="6"/>
      <c r="D496" s="6"/>
      <c r="E496" s="6"/>
      <c r="F496" s="6"/>
      <c r="G496" s="6"/>
      <c r="H496" s="6"/>
      <c r="I496" s="7"/>
      <c r="J496" s="8"/>
      <c r="K496" s="6"/>
      <c r="L496" s="9" t="str">
        <f aca="false">IF(OR(E496="",H496=""),"",E496*H496)</f>
        <v/>
      </c>
      <c r="M496" s="10" t="str">
        <f aca="false">IF(OR(J496="",H496="",H496=0),"",J496/H496)</f>
        <v/>
      </c>
      <c r="N496" s="10" t="str">
        <f aca="false">IF(OR(J496="",I496="",I496=0),"",J496/I496)</f>
        <v/>
      </c>
      <c r="O496" s="10" t="str">
        <f aca="false">IF(OR(J496="",L496="",L496=0),"",J496/L496)</f>
        <v/>
      </c>
      <c r="P496" s="6"/>
    </row>
    <row r="497" customFormat="false" ht="15" hidden="false" customHeight="false" outlineLevel="0" collapsed="false">
      <c r="A497" s="5"/>
      <c r="B497" s="6"/>
      <c r="C497" s="6"/>
      <c r="D497" s="6"/>
      <c r="E497" s="6"/>
      <c r="F497" s="6"/>
      <c r="G497" s="6"/>
      <c r="H497" s="6"/>
      <c r="I497" s="7"/>
      <c r="J497" s="8"/>
      <c r="K497" s="6"/>
      <c r="L497" s="9" t="str">
        <f aca="false">IF(OR(E497="",H497=""),"",E497*H497)</f>
        <v/>
      </c>
      <c r="M497" s="10" t="str">
        <f aca="false">IF(OR(J497="",H497="",H497=0),"",J497/H497)</f>
        <v/>
      </c>
      <c r="N497" s="10" t="str">
        <f aca="false">IF(OR(J497="",I497="",I497=0),"",J497/I497)</f>
        <v/>
      </c>
      <c r="O497" s="10" t="str">
        <f aca="false">IF(OR(J497="",L497="",L497=0),"",J497/L497)</f>
        <v/>
      </c>
      <c r="P497" s="6"/>
    </row>
    <row r="498" customFormat="false" ht="15" hidden="false" customHeight="false" outlineLevel="0" collapsed="false">
      <c r="A498" s="5"/>
      <c r="B498" s="6"/>
      <c r="C498" s="6"/>
      <c r="D498" s="6"/>
      <c r="E498" s="6"/>
      <c r="F498" s="6"/>
      <c r="G498" s="6"/>
      <c r="H498" s="6"/>
      <c r="I498" s="7"/>
      <c r="J498" s="8"/>
      <c r="K498" s="6"/>
      <c r="L498" s="9" t="str">
        <f aca="false">IF(OR(E498="",H498=""),"",E498*H498)</f>
        <v/>
      </c>
      <c r="M498" s="10" t="str">
        <f aca="false">IF(OR(J498="",H498="",H498=0),"",J498/H498)</f>
        <v/>
      </c>
      <c r="N498" s="10" t="str">
        <f aca="false">IF(OR(J498="",I498="",I498=0),"",J498/I498)</f>
        <v/>
      </c>
      <c r="O498" s="10" t="str">
        <f aca="false">IF(OR(J498="",L498="",L498=0),"",J498/L498)</f>
        <v/>
      </c>
      <c r="P498" s="6"/>
    </row>
    <row r="499" customFormat="false" ht="15" hidden="false" customHeight="false" outlineLevel="0" collapsed="false">
      <c r="A499" s="5"/>
      <c r="B499" s="6"/>
      <c r="C499" s="6"/>
      <c r="D499" s="6"/>
      <c r="E499" s="6"/>
      <c r="F499" s="6"/>
      <c r="G499" s="6"/>
      <c r="H499" s="6"/>
      <c r="I499" s="7"/>
      <c r="J499" s="8"/>
      <c r="K499" s="6"/>
      <c r="L499" s="9" t="str">
        <f aca="false">IF(OR(E499="",H499=""),"",E499*H499)</f>
        <v/>
      </c>
      <c r="M499" s="10" t="str">
        <f aca="false">IF(OR(J499="",H499="",H499=0),"",J499/H499)</f>
        <v/>
      </c>
      <c r="N499" s="10" t="str">
        <f aca="false">IF(OR(J499="",I499="",I499=0),"",J499/I499)</f>
        <v/>
      </c>
      <c r="O499" s="10" t="str">
        <f aca="false">IF(OR(J499="",L499="",L499=0),"",J499/L499)</f>
        <v/>
      </c>
      <c r="P499" s="6"/>
    </row>
    <row r="500" customFormat="false" ht="15" hidden="false" customHeight="false" outlineLevel="0" collapsed="false">
      <c r="A500" s="5"/>
      <c r="B500" s="6"/>
      <c r="C500" s="6"/>
      <c r="D500" s="6"/>
      <c r="E500" s="6"/>
      <c r="F500" s="6"/>
      <c r="G500" s="6"/>
      <c r="H500" s="6"/>
      <c r="I500" s="7"/>
      <c r="J500" s="8"/>
      <c r="K500" s="6"/>
      <c r="L500" s="9" t="str">
        <f aca="false">IF(OR(E500="",H500=""),"",E500*H500)</f>
        <v/>
      </c>
      <c r="M500" s="10" t="str">
        <f aca="false">IF(OR(J500="",H500="",H500=0),"",J500/H500)</f>
        <v/>
      </c>
      <c r="N500" s="10" t="str">
        <f aca="false">IF(OR(J500="",I500="",I500=0),"",J500/I500)</f>
        <v/>
      </c>
      <c r="O500" s="10" t="str">
        <f aca="false">IF(OR(J500="",L500="",L500=0),"",J500/L500)</f>
        <v/>
      </c>
      <c r="P500" s="6"/>
    </row>
    <row r="501" customFormat="false" ht="15" hidden="false" customHeight="false" outlineLevel="0" collapsed="false">
      <c r="A501" s="5"/>
      <c r="B501" s="6"/>
      <c r="C501" s="6"/>
      <c r="D501" s="6"/>
      <c r="E501" s="6"/>
      <c r="F501" s="6"/>
      <c r="G501" s="6"/>
      <c r="H501" s="6"/>
      <c r="I501" s="7"/>
      <c r="J501" s="8"/>
      <c r="K501" s="6"/>
      <c r="L501" s="9" t="str">
        <f aca="false">IF(OR(E501="",H501=""),"",E501*H501)</f>
        <v/>
      </c>
      <c r="M501" s="10" t="str">
        <f aca="false">IF(OR(J501="",H501="",H501=0),"",J501/H501)</f>
        <v/>
      </c>
      <c r="N501" s="10" t="str">
        <f aca="false">IF(OR(J501="",I501="",I501=0),"",J501/I501)</f>
        <v/>
      </c>
      <c r="O501" s="10" t="str">
        <f aca="false">IF(OR(J501="",L501="",L501=0),"",J501/L501)</f>
        <v/>
      </c>
      <c r="P501" s="6"/>
    </row>
    <row r="502" customFormat="false" ht="15" hidden="false" customHeight="false" outlineLevel="0" collapsed="false">
      <c r="A502" s="5"/>
      <c r="B502" s="6"/>
      <c r="C502" s="6"/>
      <c r="D502" s="6"/>
      <c r="E502" s="6"/>
      <c r="F502" s="6"/>
      <c r="G502" s="6"/>
      <c r="H502" s="6"/>
      <c r="I502" s="7"/>
      <c r="J502" s="8"/>
      <c r="K502" s="6"/>
      <c r="L502" s="9" t="str">
        <f aca="false">IF(OR(E502="",H502=""),"",E502*H502)</f>
        <v/>
      </c>
      <c r="M502" s="10" t="str">
        <f aca="false">IF(OR(J502="",H502="",H502=0),"",J502/H502)</f>
        <v/>
      </c>
      <c r="N502" s="10" t="str">
        <f aca="false">IF(OR(J502="",I502="",I502=0),"",J502/I502)</f>
        <v/>
      </c>
      <c r="O502" s="10" t="str">
        <f aca="false">IF(OR(J502="",L502="",L502=0),"",J502/L502)</f>
        <v/>
      </c>
      <c r="P502" s="6"/>
    </row>
    <row r="503" customFormat="false" ht="15" hidden="false" customHeight="false" outlineLevel="0" collapsed="false">
      <c r="A503" s="5"/>
      <c r="B503" s="6"/>
      <c r="C503" s="6"/>
      <c r="D503" s="6"/>
      <c r="E503" s="6"/>
      <c r="F503" s="6"/>
      <c r="G503" s="6"/>
      <c r="H503" s="6"/>
      <c r="I503" s="7"/>
      <c r="J503" s="8"/>
      <c r="K503" s="6"/>
      <c r="L503" s="9" t="str">
        <f aca="false">IF(OR(E503="",H503=""),"",E503*H503)</f>
        <v/>
      </c>
      <c r="M503" s="10" t="str">
        <f aca="false">IF(OR(J503="",H503="",H503=0),"",J503/H503)</f>
        <v/>
      </c>
      <c r="N503" s="10" t="str">
        <f aca="false">IF(OR(J503="",I503="",I503=0),"",J503/I503)</f>
        <v/>
      </c>
      <c r="O503" s="10" t="str">
        <f aca="false">IF(OR(J503="",L503="",L503=0),"",J503/L503)</f>
        <v/>
      </c>
      <c r="P503" s="6"/>
    </row>
  </sheetData>
  <autoFilter ref="A3:P503"/>
  <dataValidations count="3">
    <dataValidation allowBlank="true" errorStyle="stop" operator="between" showDropDown="false" showErrorMessage="false" showInputMessage="false" sqref="C4:C503" type="list">
      <formula1>"DDR2,DDR3,DDR4,DDR5,Mixed,Other"</formula1>
      <formula2>0</formula2>
    </dataValidation>
    <dataValidation allowBlank="true" errorStyle="stop" operator="between" showDropDown="false" showErrorMessage="false" showInputMessage="false" sqref="D4:D503" type="list">
      <formula1>"DIMM (Desktop),SODIMM (Laptop),Server (ECC/RDIMM),Mixed"</formula1>
      <formula2>0</formula2>
    </dataValidation>
    <dataValidation allowBlank="true" errorStyle="stop" operator="between" showDropDown="false" showErrorMessage="false" showInputMessage="false" sqref="K4:K503" type="list">
      <formula1>"Cash,Check,Card,Trade,Other"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6" min="5" style="0" width="13"/>
  </cols>
  <sheetData>
    <row r="1" customFormat="false" ht="17.35" hidden="false" customHeight="false" outlineLevel="0" collapsed="false">
      <c r="A1" s="1" t="s">
        <v>24</v>
      </c>
    </row>
    <row r="3" customFormat="false" ht="15" hidden="false" customHeight="false" outlineLevel="0" collapsed="false">
      <c r="A3" s="11" t="s">
        <v>25</v>
      </c>
      <c r="B3" s="12" t="n">
        <f aca="false">COUNT(Purchases!J4:J503)</f>
        <v>1</v>
      </c>
    </row>
    <row r="4" customFormat="false" ht="15" hidden="false" customHeight="false" outlineLevel="0" collapsed="false">
      <c r="A4" s="11" t="s">
        <v>26</v>
      </c>
      <c r="B4" s="13" t="n">
        <f aca="false">SUM(Purchases!J4:J503)</f>
        <v>60</v>
      </c>
    </row>
    <row r="5" customFormat="false" ht="15" hidden="false" customHeight="false" outlineLevel="0" collapsed="false">
      <c r="A5" s="11" t="s">
        <v>27</v>
      </c>
      <c r="B5" s="14" t="n">
        <f aca="false">SUM(Purchases!H4:H503)</f>
        <v>25</v>
      </c>
    </row>
    <row r="6" customFormat="false" ht="15" hidden="false" customHeight="false" outlineLevel="0" collapsed="false">
      <c r="A6" s="11" t="s">
        <v>28</v>
      </c>
      <c r="B6" s="15" t="n">
        <f aca="false">SUM(Purchases!I4:I503)</f>
        <v>1.5</v>
      </c>
    </row>
    <row r="7" customFormat="false" ht="15" hidden="false" customHeight="false" outlineLevel="0" collapsed="false">
      <c r="A7" s="11" t="s">
        <v>13</v>
      </c>
      <c r="B7" s="14" t="n">
        <f aca="false">SUM(Purchases!L4:L503)</f>
        <v>200</v>
      </c>
    </row>
    <row r="8" customFormat="false" ht="15" hidden="false" customHeight="false" outlineLevel="0" collapsed="false">
      <c r="A8" s="11" t="s">
        <v>29</v>
      </c>
      <c r="B8" s="13" t="n">
        <f aca="false">IF(B5=0,0,B4/B5)</f>
        <v>2.4</v>
      </c>
    </row>
    <row r="9" customFormat="false" ht="15" hidden="false" customHeight="false" outlineLevel="0" collapsed="false">
      <c r="A9" s="11" t="s">
        <v>30</v>
      </c>
      <c r="B9" s="13" t="n">
        <f aca="false">IF(B6=0,0,B4/B6)</f>
        <v>40</v>
      </c>
    </row>
    <row r="10" customFormat="false" ht="15" hidden="false" customHeight="false" outlineLevel="0" collapsed="false">
      <c r="A10" s="11" t="s">
        <v>31</v>
      </c>
      <c r="B10" s="13" t="n">
        <f aca="false">IF(B7=0,0,B4/B7)</f>
        <v>0.3</v>
      </c>
    </row>
    <row r="13" customFormat="false" ht="15" hidden="false" customHeight="false" outlineLevel="0" collapsed="false">
      <c r="A13" s="16" t="s">
        <v>32</v>
      </c>
    </row>
    <row r="14" customFormat="false" ht="15" hidden="false" customHeight="false" outlineLevel="0" collapsed="false">
      <c r="A14" s="17" t="s">
        <v>33</v>
      </c>
      <c r="B14" s="17" t="s">
        <v>34</v>
      </c>
      <c r="C14" s="17" t="s">
        <v>35</v>
      </c>
      <c r="D14" s="17" t="s">
        <v>36</v>
      </c>
      <c r="E14" s="17" t="s">
        <v>37</v>
      </c>
      <c r="F14" s="17" t="s">
        <v>38</v>
      </c>
    </row>
    <row r="15" customFormat="false" ht="15" hidden="false" customHeight="false" outlineLevel="0" collapsed="false">
      <c r="A15" s="12" t="s">
        <v>39</v>
      </c>
      <c r="B15" s="12" t="n">
        <f aca="false">COUNTIF(Purchases!C4:C503,A15)</f>
        <v>0</v>
      </c>
      <c r="C15" s="12" t="n">
        <f aca="false">SUMIF(Purchases!C4:C503,A15,Purchases!H4:H503)</f>
        <v>0</v>
      </c>
      <c r="D15" s="12" t="n">
        <f aca="false">SUMIF(Purchases!C4:C503,A15,Purchases!L4:L503)</f>
        <v>0</v>
      </c>
      <c r="E15" s="13" t="n">
        <f aca="false">SUMIF(Purchases!C4:C503,A15,Purchases!J4:J503)</f>
        <v>0</v>
      </c>
      <c r="F15" s="13" t="n">
        <f aca="false">IF(C15=0,0,E15/C15)</f>
        <v>0</v>
      </c>
    </row>
    <row r="16" customFormat="false" ht="15" hidden="false" customHeight="false" outlineLevel="0" collapsed="false">
      <c r="A16" s="12" t="s">
        <v>40</v>
      </c>
      <c r="B16" s="12" t="n">
        <f aca="false">COUNTIF(Purchases!C4:C503,A16)</f>
        <v>0</v>
      </c>
      <c r="C16" s="12" t="n">
        <f aca="false">SUMIF(Purchases!C4:C503,A16,Purchases!H4:H503)</f>
        <v>0</v>
      </c>
      <c r="D16" s="12" t="n">
        <f aca="false">SUMIF(Purchases!C4:C503,A16,Purchases!L4:L503)</f>
        <v>0</v>
      </c>
      <c r="E16" s="13" t="n">
        <f aca="false">SUMIF(Purchases!C4:C503,A16,Purchases!J4:J503)</f>
        <v>0</v>
      </c>
      <c r="F16" s="13" t="n">
        <f aca="false">IF(C16=0,0,E16/C16)</f>
        <v>0</v>
      </c>
    </row>
    <row r="17" customFormat="false" ht="15" hidden="false" customHeight="false" outlineLevel="0" collapsed="false">
      <c r="A17" s="12" t="s">
        <v>19</v>
      </c>
      <c r="B17" s="12" t="n">
        <f aca="false">COUNTIF(Purchases!C4:C503,A17)</f>
        <v>1</v>
      </c>
      <c r="C17" s="12" t="n">
        <f aca="false">SUMIF(Purchases!C4:C503,A17,Purchases!H4:H503)</f>
        <v>25</v>
      </c>
      <c r="D17" s="12" t="n">
        <f aca="false">SUMIF(Purchases!C4:C503,A17,Purchases!L4:L503)</f>
        <v>200</v>
      </c>
      <c r="E17" s="13" t="n">
        <f aca="false">SUMIF(Purchases!C4:C503,A17,Purchases!J4:J503)</f>
        <v>60</v>
      </c>
      <c r="F17" s="13" t="n">
        <f aca="false">IF(C17=0,0,E17/C17)</f>
        <v>2.4</v>
      </c>
    </row>
    <row r="18" customFormat="false" ht="15" hidden="false" customHeight="false" outlineLevel="0" collapsed="false">
      <c r="A18" s="12" t="s">
        <v>41</v>
      </c>
      <c r="B18" s="12" t="n">
        <f aca="false">COUNTIF(Purchases!C4:C503,A18)</f>
        <v>0</v>
      </c>
      <c r="C18" s="12" t="n">
        <f aca="false">SUMIF(Purchases!C4:C503,A18,Purchases!H4:H503)</f>
        <v>0</v>
      </c>
      <c r="D18" s="12" t="n">
        <f aca="false">SUMIF(Purchases!C4:C503,A18,Purchases!L4:L503)</f>
        <v>0</v>
      </c>
      <c r="E18" s="13" t="n">
        <f aca="false">SUMIF(Purchases!C4:C503,A18,Purchases!J4:J503)</f>
        <v>0</v>
      </c>
      <c r="F18" s="13" t="n">
        <f aca="false">IF(C18=0,0,E18/C18)</f>
        <v>0</v>
      </c>
    </row>
    <row r="19" customFormat="false" ht="15" hidden="false" customHeight="false" outlineLevel="0" collapsed="false">
      <c r="A19" s="12" t="s">
        <v>42</v>
      </c>
      <c r="B19" s="12" t="n">
        <f aca="false">COUNTIF(Purchases!C4:C503,A19)</f>
        <v>0</v>
      </c>
      <c r="C19" s="12" t="n">
        <f aca="false">SUMIF(Purchases!C4:C503,A19,Purchases!H4:H503)</f>
        <v>0</v>
      </c>
      <c r="D19" s="12" t="n">
        <f aca="false">SUMIF(Purchases!C4:C503,A19,Purchases!L4:L503)</f>
        <v>0</v>
      </c>
      <c r="E19" s="13" t="n">
        <f aca="false">SUMIF(Purchases!C4:C503,A19,Purchases!J4:J503)</f>
        <v>0</v>
      </c>
      <c r="F19" s="13" t="n">
        <f aca="false">IF(C19=0,0,E19/C19)</f>
        <v>0</v>
      </c>
    </row>
    <row r="20" customFormat="false" ht="15" hidden="false" customHeight="false" outlineLevel="0" collapsed="false">
      <c r="A20" s="12" t="s">
        <v>43</v>
      </c>
      <c r="B20" s="12" t="n">
        <f aca="false">COUNTIF(Purchases!C4:C503,A20)</f>
        <v>0</v>
      </c>
      <c r="C20" s="12" t="n">
        <f aca="false">SUMIF(Purchases!C4:C503,A20,Purchases!H4:H503)</f>
        <v>0</v>
      </c>
      <c r="D20" s="12" t="n">
        <f aca="false">SUMIF(Purchases!C4:C503,A20,Purchases!L4:L503)</f>
        <v>0</v>
      </c>
      <c r="E20" s="13" t="n">
        <f aca="false">SUMIF(Purchases!C4:C503,A20,Purchases!J4:J503)</f>
        <v>0</v>
      </c>
      <c r="F20" s="13" t="n">
        <f aca="false">IF(C20=0,0,E20/C20)</f>
        <v>0</v>
      </c>
    </row>
    <row r="23" customFormat="false" ht="15" hidden="false" customHeight="false" outlineLevel="0" collapsed="false">
      <c r="A23" s="16" t="s">
        <v>44</v>
      </c>
    </row>
    <row r="24" customFormat="false" ht="15" hidden="false" customHeight="false" outlineLevel="0" collapsed="false">
      <c r="A24" s="18" t="s">
        <v>45</v>
      </c>
      <c r="B24" s="19" t="n">
        <v>2026</v>
      </c>
      <c r="C24" s="20" t="s">
        <v>46</v>
      </c>
      <c r="D24" s="18"/>
      <c r="E24" s="18"/>
      <c r="F24" s="18"/>
    </row>
    <row r="25" customFormat="false" ht="15" hidden="false" customHeight="false" outlineLevel="0" collapsed="false">
      <c r="A25" s="17" t="s">
        <v>47</v>
      </c>
      <c r="B25" s="17" t="s">
        <v>34</v>
      </c>
      <c r="C25" s="17" t="s">
        <v>35</v>
      </c>
      <c r="D25" s="17" t="s">
        <v>37</v>
      </c>
      <c r="E25" s="18"/>
      <c r="F25" s="18"/>
    </row>
    <row r="26" customFormat="false" ht="15" hidden="false" customHeight="false" outlineLevel="0" collapsed="false">
      <c r="A26" s="18" t="s">
        <v>48</v>
      </c>
      <c r="B26" s="18" t="n">
        <f aca="false">COUNTIFS(Purchases!A4:A503,"&gt;="&amp;DATE($B$24,1,1),Purchases!A4:A503,"&lt;"&amp;DATE($B$24,1+1,1))</f>
        <v>0</v>
      </c>
      <c r="C26" s="18" t="n">
        <f aca="false">SUMIFS(Purchases!H4:H503,Purchases!A4:A503,"&gt;="&amp;DATE($B$24,1,1),Purchases!A4:A503,"&lt;"&amp;DATE($B$24,1+1,1))</f>
        <v>0</v>
      </c>
      <c r="D26" s="21" t="n">
        <f aca="false">SUMIFS(Purchases!J4:J503,Purchases!A4:A503,"&gt;="&amp;DATE($B$24,1,1),Purchases!A4:A503,"&lt;"&amp;DATE($B$24,1+1,1))</f>
        <v>0</v>
      </c>
      <c r="E26" s="18"/>
      <c r="F26" s="18"/>
    </row>
    <row r="27" customFormat="false" ht="15" hidden="false" customHeight="false" outlineLevel="0" collapsed="false">
      <c r="A27" s="18" t="s">
        <v>49</v>
      </c>
      <c r="B27" s="18" t="n">
        <f aca="false">COUNTIFS(Purchases!A4:A503,"&gt;="&amp;DATE($B$24,2,1),Purchases!A4:A503,"&lt;"&amp;DATE($B$24,2+1,1))</f>
        <v>0</v>
      </c>
      <c r="C27" s="18" t="n">
        <f aca="false">SUMIFS(Purchases!H4:H503,Purchases!A4:A503,"&gt;="&amp;DATE($B$24,2,1),Purchases!A4:A503,"&lt;"&amp;DATE($B$24,2+1,1))</f>
        <v>0</v>
      </c>
      <c r="D27" s="21" t="n">
        <f aca="false">SUMIFS(Purchases!J4:J503,Purchases!A4:A503,"&gt;="&amp;DATE($B$24,2,1),Purchases!A4:A503,"&lt;"&amp;DATE($B$24,2+1,1))</f>
        <v>0</v>
      </c>
      <c r="E27" s="18"/>
      <c r="F27" s="18"/>
    </row>
    <row r="28" customFormat="false" ht="15" hidden="false" customHeight="false" outlineLevel="0" collapsed="false">
      <c r="A28" s="18" t="s">
        <v>50</v>
      </c>
      <c r="B28" s="18" t="n">
        <f aca="false">COUNTIFS(Purchases!A4:A503,"&gt;="&amp;DATE($B$24,3,1),Purchases!A4:A503,"&lt;"&amp;DATE($B$24,3+1,1))</f>
        <v>0</v>
      </c>
      <c r="C28" s="18" t="n">
        <f aca="false">SUMIFS(Purchases!H4:H503,Purchases!A4:A503,"&gt;="&amp;DATE($B$24,3,1),Purchases!A4:A503,"&lt;"&amp;DATE($B$24,3+1,1))</f>
        <v>0</v>
      </c>
      <c r="D28" s="21" t="n">
        <f aca="false">SUMIFS(Purchases!J4:J503,Purchases!A4:A503,"&gt;="&amp;DATE($B$24,3,1),Purchases!A4:A503,"&lt;"&amp;DATE($B$24,3+1,1))</f>
        <v>0</v>
      </c>
      <c r="E28" s="18"/>
      <c r="F28" s="18"/>
    </row>
    <row r="29" customFormat="false" ht="15" hidden="false" customHeight="false" outlineLevel="0" collapsed="false">
      <c r="A29" s="18" t="s">
        <v>51</v>
      </c>
      <c r="B29" s="18" t="n">
        <f aca="false">COUNTIFS(Purchases!A4:A503,"&gt;="&amp;DATE($B$24,4,1),Purchases!A4:A503,"&lt;"&amp;DATE($B$24,4+1,1))</f>
        <v>0</v>
      </c>
      <c r="C29" s="18" t="n">
        <f aca="false">SUMIFS(Purchases!H4:H503,Purchases!A4:A503,"&gt;="&amp;DATE($B$24,4,1),Purchases!A4:A503,"&lt;"&amp;DATE($B$24,4+1,1))</f>
        <v>0</v>
      </c>
      <c r="D29" s="21" t="n">
        <f aca="false">SUMIFS(Purchases!J4:J503,Purchases!A4:A503,"&gt;="&amp;DATE($B$24,4,1),Purchases!A4:A503,"&lt;"&amp;DATE($B$24,4+1,1))</f>
        <v>0</v>
      </c>
      <c r="E29" s="18"/>
      <c r="F29" s="18"/>
    </row>
    <row r="30" customFormat="false" ht="15" hidden="false" customHeight="false" outlineLevel="0" collapsed="false">
      <c r="A30" s="18" t="s">
        <v>52</v>
      </c>
      <c r="B30" s="18" t="n">
        <f aca="false">COUNTIFS(Purchases!A4:A503,"&gt;="&amp;DATE($B$24,5,1),Purchases!A4:A503,"&lt;"&amp;DATE($B$24,5+1,1))</f>
        <v>0</v>
      </c>
      <c r="C30" s="18" t="n">
        <f aca="false">SUMIFS(Purchases!H4:H503,Purchases!A4:A503,"&gt;="&amp;DATE($B$24,5,1),Purchases!A4:A503,"&lt;"&amp;DATE($B$24,5+1,1))</f>
        <v>0</v>
      </c>
      <c r="D30" s="21" t="n">
        <f aca="false">SUMIFS(Purchases!J4:J503,Purchases!A4:A503,"&gt;="&amp;DATE($B$24,5,1),Purchases!A4:A503,"&lt;"&amp;DATE($B$24,5+1,1))</f>
        <v>0</v>
      </c>
      <c r="E30" s="18"/>
      <c r="F30" s="18"/>
    </row>
    <row r="31" customFormat="false" ht="15" hidden="false" customHeight="false" outlineLevel="0" collapsed="false">
      <c r="A31" s="18" t="s">
        <v>53</v>
      </c>
      <c r="B31" s="18" t="n">
        <f aca="false">COUNTIFS(Purchases!A4:A503,"&gt;="&amp;DATE($B$24,6,1),Purchases!A4:A503,"&lt;"&amp;DATE($B$24,6+1,1))</f>
        <v>0</v>
      </c>
      <c r="C31" s="18" t="n">
        <f aca="false">SUMIFS(Purchases!H4:H503,Purchases!A4:A503,"&gt;="&amp;DATE($B$24,6,1),Purchases!A4:A503,"&lt;"&amp;DATE($B$24,6+1,1))</f>
        <v>0</v>
      </c>
      <c r="D31" s="21" t="n">
        <f aca="false">SUMIFS(Purchases!J4:J503,Purchases!A4:A503,"&gt;="&amp;DATE($B$24,6,1),Purchases!A4:A503,"&lt;"&amp;DATE($B$24,6+1,1))</f>
        <v>0</v>
      </c>
      <c r="E31" s="18"/>
      <c r="F31" s="18"/>
    </row>
    <row r="32" customFormat="false" ht="15" hidden="false" customHeight="false" outlineLevel="0" collapsed="false">
      <c r="A32" s="18" t="s">
        <v>54</v>
      </c>
      <c r="B32" s="18" t="n">
        <f aca="false">COUNTIFS(Purchases!A4:A503,"&gt;="&amp;DATE($B$24,7,1),Purchases!A4:A503,"&lt;"&amp;DATE($B$24,7+1,1))</f>
        <v>0</v>
      </c>
      <c r="C32" s="18" t="n">
        <f aca="false">SUMIFS(Purchases!H4:H503,Purchases!A4:A503,"&gt;="&amp;DATE($B$24,7,1),Purchases!A4:A503,"&lt;"&amp;DATE($B$24,7+1,1))</f>
        <v>0</v>
      </c>
      <c r="D32" s="21" t="n">
        <f aca="false">SUMIFS(Purchases!J4:J503,Purchases!A4:A503,"&gt;="&amp;DATE($B$24,7,1),Purchases!A4:A503,"&lt;"&amp;DATE($B$24,7+1,1))</f>
        <v>0</v>
      </c>
      <c r="E32" s="18"/>
      <c r="F32" s="18"/>
    </row>
    <row r="33" customFormat="false" ht="15" hidden="false" customHeight="false" outlineLevel="0" collapsed="false">
      <c r="A33" s="18" t="s">
        <v>55</v>
      </c>
      <c r="B33" s="18" t="n">
        <f aca="false">COUNTIFS(Purchases!A4:A503,"&gt;="&amp;DATE($B$24,8,1),Purchases!A4:A503,"&lt;"&amp;DATE($B$24,8+1,1))</f>
        <v>0</v>
      </c>
      <c r="C33" s="18" t="n">
        <f aca="false">SUMIFS(Purchases!H4:H503,Purchases!A4:A503,"&gt;="&amp;DATE($B$24,8,1),Purchases!A4:A503,"&lt;"&amp;DATE($B$24,8+1,1))</f>
        <v>0</v>
      </c>
      <c r="D33" s="21" t="n">
        <f aca="false">SUMIFS(Purchases!J4:J503,Purchases!A4:A503,"&gt;="&amp;DATE($B$24,8,1),Purchases!A4:A503,"&lt;"&amp;DATE($B$24,8+1,1))</f>
        <v>0</v>
      </c>
      <c r="E33" s="18"/>
      <c r="F33" s="18"/>
    </row>
    <row r="34" customFormat="false" ht="15" hidden="false" customHeight="false" outlineLevel="0" collapsed="false">
      <c r="A34" s="18" t="s">
        <v>56</v>
      </c>
      <c r="B34" s="18" t="n">
        <f aca="false">COUNTIFS(Purchases!A4:A503,"&gt;="&amp;DATE($B$24,9,1),Purchases!A4:A503,"&lt;"&amp;DATE($B$24,9+1,1))</f>
        <v>0</v>
      </c>
      <c r="C34" s="18" t="n">
        <f aca="false">SUMIFS(Purchases!H4:H503,Purchases!A4:A503,"&gt;="&amp;DATE($B$24,9,1),Purchases!A4:A503,"&lt;"&amp;DATE($B$24,9+1,1))</f>
        <v>0</v>
      </c>
      <c r="D34" s="21" t="n">
        <f aca="false">SUMIFS(Purchases!J4:J503,Purchases!A4:A503,"&gt;="&amp;DATE($B$24,9,1),Purchases!A4:A503,"&lt;"&amp;DATE($B$24,9+1,1))</f>
        <v>0</v>
      </c>
      <c r="E34" s="18"/>
      <c r="F34" s="18"/>
    </row>
    <row r="35" customFormat="false" ht="15" hidden="false" customHeight="false" outlineLevel="0" collapsed="false">
      <c r="A35" s="18" t="s">
        <v>57</v>
      </c>
      <c r="B35" s="18" t="n">
        <f aca="false">COUNTIFS(Purchases!A4:A503,"&gt;="&amp;DATE($B$24,10,1),Purchases!A4:A503,"&lt;"&amp;DATE($B$24,10+1,1))</f>
        <v>1</v>
      </c>
      <c r="C35" s="18" t="n">
        <f aca="false">SUMIFS(Purchases!H4:H503,Purchases!A4:A503,"&gt;="&amp;DATE($B$24,10,1),Purchases!A4:A503,"&lt;"&amp;DATE($B$24,10+1,1))</f>
        <v>25</v>
      </c>
      <c r="D35" s="21" t="n">
        <f aca="false">SUMIFS(Purchases!J4:J503,Purchases!A4:A503,"&gt;="&amp;DATE($B$24,10,1),Purchases!A4:A503,"&lt;"&amp;DATE($B$24,10+1,1))</f>
        <v>60</v>
      </c>
      <c r="E35" s="18"/>
      <c r="F35" s="18"/>
    </row>
    <row r="36" customFormat="false" ht="15" hidden="false" customHeight="false" outlineLevel="0" collapsed="false">
      <c r="A36" s="18" t="s">
        <v>58</v>
      </c>
      <c r="B36" s="18" t="n">
        <f aca="false">COUNTIFS(Purchases!A4:A503,"&gt;="&amp;DATE($B$24,11,1),Purchases!A4:A503,"&lt;"&amp;DATE($B$24,11+1,1))</f>
        <v>0</v>
      </c>
      <c r="C36" s="18" t="n">
        <f aca="false">SUMIFS(Purchases!H4:H503,Purchases!A4:A503,"&gt;="&amp;DATE($B$24,11,1),Purchases!A4:A503,"&lt;"&amp;DATE($B$24,11+1,1))</f>
        <v>0</v>
      </c>
      <c r="D36" s="21" t="n">
        <f aca="false">SUMIFS(Purchases!J4:J503,Purchases!A4:A503,"&gt;="&amp;DATE($B$24,11,1),Purchases!A4:A503,"&lt;"&amp;DATE($B$24,11+1,1))</f>
        <v>0</v>
      </c>
      <c r="E36" s="18"/>
      <c r="F36" s="18"/>
    </row>
    <row r="37" customFormat="false" ht="15" hidden="false" customHeight="false" outlineLevel="0" collapsed="false">
      <c r="A37" s="18" t="s">
        <v>59</v>
      </c>
      <c r="B37" s="18" t="n">
        <f aca="false">COUNTIFS(Purchases!A4:A503,"&gt;="&amp;DATE($B$24,12,1),Purchases!A4:A503,"&lt;"&amp;DATE($B$24,12+1,1))</f>
        <v>0</v>
      </c>
      <c r="C37" s="18" t="n">
        <f aca="false">SUMIFS(Purchases!H4:H503,Purchases!A4:A503,"&gt;="&amp;DATE($B$24,12,1),Purchases!A4:A503,"&lt;"&amp;DATE($B$24,12+1,1))</f>
        <v>0</v>
      </c>
      <c r="D37" s="21" t="n">
        <f aca="false">SUMIFS(Purchases!J4:J503,Purchases!A4:A503,"&gt;="&amp;DATE($B$24,12,1),Purchases!A4:A503,"&lt;"&amp;DATE($B$24,12+1,1))</f>
        <v>0</v>
      </c>
      <c r="E37" s="18"/>
      <c r="F37" s="18"/>
    </row>
    <row r="38" customFormat="false" ht="15" hidden="false" customHeight="false" outlineLevel="0" collapsed="false">
      <c r="A38" s="22" t="s">
        <v>60</v>
      </c>
      <c r="B38" s="22" t="n">
        <f aca="false">SUM(B26:B37)</f>
        <v>1</v>
      </c>
      <c r="C38" s="22" t="n">
        <f aca="false">SUM(C26:C37)</f>
        <v>25</v>
      </c>
      <c r="D38" s="23" t="n">
        <f aca="false">SUM(D26:D37)</f>
        <v>60</v>
      </c>
      <c r="E38" s="22"/>
      <c r="F38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2026-10-20T04:32:37Z</dcterms:created>
  <dc:creator>openpyxl</dc:creator>
  <dc:description/>
  <dc:language>en-US</dc:language>
  <cp:lastModifiedBy/>
  <dcterms:modified xsi:type="dcterms:W3CDTF">2026-10-20T04:32:38Z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