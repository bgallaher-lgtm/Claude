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ot Calculator" sheetId="1" state="visible" r:id="rId3"/>
    <sheet name="Bulk Pricing" sheetId="2" state="visible" r:id="rId4"/>
    <sheet name="How to use" sheetId="3" state="visible" r:id="rId5"/>
    <sheet name="Lot 1 - DDR3" sheetId="4" state="visible" r:id="rId6"/>
    <sheet name="Lot 2 - DDR4" sheetId="5" state="visible" r:id="rId7"/>
    <sheet name="Lot 3 - DDR4 2666-3200" sheetId="6" state="visible" r:id="rId8"/>
    <sheet name="Lot 4 - Server" sheetId="7" state="visible" r:id="rId9"/>
    <sheet name="Lot 5 - Cisco" sheetId="8" state="visible" r:id="rId10"/>
    <sheet name="Lot 6 - DDR4 Mixed 157" sheetId="9" state="visible" r:id="rId11"/>
  </sheets>
  <definedNames>
    <definedName function="false" hidden="true" localSheetId="1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<sst xmlns="http://schemas.openxmlformats.org/spreadsheetml/2006/main" count="694" uniqueCount="98">
  <si>
    <t xml:space="preserve">RAM Lot Calculator</t>
  </si>
  <si>
    <t xml:space="preserve">Type how many sticks you have in the yellow cells. Prices come from the Bulk Pricing tab. Enter your planned listing price to check it before listing.</t>
  </si>
  <si>
    <t xml:space="preserve">Total sticks</t>
  </si>
  <si>
    <t xml:space="preserve">PRICE CHECK</t>
  </si>
  <si>
    <t xml:space="preserve">Total GB (DDR3/DDR4 rows)</t>
  </si>
  <si>
    <t xml:space="preserve">Price-list lot price</t>
  </si>
  <si>
    <t xml:space="preserve">Average per stick</t>
  </si>
  <si>
    <t xml:space="preserve">Your planned listing price</t>
  </si>
  <si>
    <t xml:space="preserve">Listing price vs. price list</t>
  </si>
  <si>
    <t xml:space="preserve">Lowest OK (% of price list)</t>
  </si>
  <si>
    <t xml:space="preserve">Desktop UDIMM (Non-ECC)</t>
  </si>
  <si>
    <t xml:space="preserve">Laptop SODIMM (Non-ECC)</t>
  </si>
  <si>
    <t xml:space="preserve">Server RDIMM (Registered ECC)</t>
  </si>
  <si>
    <t xml:space="preserve">Gen</t>
  </si>
  <si>
    <t xml:space="preserve">Speed</t>
  </si>
  <si>
    <t xml:space="preserve">Size (GB)</t>
  </si>
  <si>
    <t xml:space="preserve">Desktop qty</t>
  </si>
  <si>
    <t xml:space="preserve">Desktop $/stick</t>
  </si>
  <si>
    <t xml:space="preserve">Laptop qty</t>
  </si>
  <si>
    <t xml:space="preserve">Laptop $/stick</t>
  </si>
  <si>
    <t xml:space="preserve">Server qty</t>
  </si>
  <si>
    <t xml:space="preserve">Server $/stick</t>
  </si>
  <si>
    <t xml:space="preserve">Line total</t>
  </si>
  <si>
    <t xml:space="preserve">Warning</t>
  </si>
  <si>
    <t xml:space="preserve">DDR3</t>
  </si>
  <si>
    <t xml:space="preserve">DDR3-1333 / PC3-10600</t>
  </si>
  <si>
    <t xml:space="preserve">DDR3-1600 / PC3-12800</t>
  </si>
  <si>
    <t xml:space="preserve">DDR4</t>
  </si>
  <si>
    <t xml:space="preserve">DDR4-2133 / PC4-17000</t>
  </si>
  <si>
    <t xml:space="preserve">DDR4-2400 / PC4-19200</t>
  </si>
  <si>
    <t xml:space="preserve">DDR4-2666 / PC4-21300</t>
  </si>
  <si>
    <t xml:space="preserve">DDR4-3200 / PC4-25600</t>
  </si>
  <si>
    <t xml:space="preserve">Other items (not on price list)</t>
  </si>
  <si>
    <t xml:space="preserve">Description</t>
  </si>
  <si>
    <t xml:space="preserve">Qty</t>
  </si>
  <si>
    <t xml:space="preserve">$ each</t>
  </si>
  <si>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</si>
  <si>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</si>
  <si>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</si>
  <si>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</si>
  <si>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</si>
  <si>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Capacity</t>
  </si>
  <si>
    <t xml:space="preserve">Type</t>
  </si>
  <si>
    <t xml:space="preserve">Price per stick</t>
  </si>
  <si>
    <t xml:space="preserve">Price per GB</t>
  </si>
  <si>
    <t xml:space="preserve">Est. total</t>
  </si>
  <si>
    <t xml:space="preserve">Notes</t>
  </si>
  <si>
    <t xml:space="preserve">Single 16GB stick (not a kit)</t>
  </si>
  <si>
    <t xml:space="preserve">Single 32GB stick (not a kit)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</si>
  <si>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</si>
  <si>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</si>
  <si>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</si>
  <si>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</si>
  <si>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</si>
  <si>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($20), 32GB DDR4-2666 server ($175),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</si>
  <si>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</si>
  <si>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</si>
  <si>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</si>
  <si>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</si>
  <si>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</si>
  <si>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</si>
  <si>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</si>
  <si>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</si>
  <si>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</si>
  <si>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</si>
  <si>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</si>
  <si>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</si>
  <si>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Lot Calculator tab</t>
  </si>
  <si>
    <t xml:space="preserve">Before listing a lot, type stick counts in the yellow cells and your planned price in B8.</t>
  </si>
  <si>
    <t xml:space="preserve">It totals the lot from the Bulk Pricing tab and warns in red if your price is under 90% of it, or if any row has sticks but no price.</t>
  </si>
  <si>
    <t xml:space="preserve">Clear the yellow qty cells to start a new lot. Change B10 to use a different minimum (e.g. 85%).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</si>
  <si>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</si>
  <si>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</si>
  <si>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</si>
  <si>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</si>
  <si>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</si>
  <si>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</si>
  <si>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</si>
  <si>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</si>
  <si>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</si>
  <si>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</si>
  <si>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</si>
  <si>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</si>
  <si>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</si>
  <si>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</si>
  <si>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</si>
  <si>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</si>
  <si>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</si>
  <si>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</si>
  <si>
    <t xml:space="preserve">eBay Bulk Lot 3 - DDR4 2666/3200 (all tested)</t>
  </si>
  <si>
    <t xml:space="preserve">Forza</t>
  </si>
  <si>
    <t xml:space="preserve">eBay Bulk Lot 4 - Server RAM (all tested)</t>
  </si>
  <si>
    <t xml:space="preserve">eBay Bulk Lot 5 - Cisco DRAM (all tested)</t>
  </si>
  <si>
    <t xml:space="preserve">Cisco</t>
  </si>
  <si>
    <t xml:space="preserve">Cisco DRAM module</t>
  </si>
  <si>
    <t xml:space="preserve">eBay Bulk Lot 6 - DDR4 Mixed, 157 sticks (all tested)</t>
  </si>
  <si>
    <t xml:space="preserve">Mixed</t>
  </si>
  <si>
    <t xml:space="preserve">Brands mixed (Samsung, Micron, SK Hynix, etc.); laptop 137, desktop 20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</si>
</sst>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&quot; GB&quot;"/>
    <numFmt numFmtId="167" formatCode="\$#,##0.00"/>
    <numFmt numFmtId="168" formatCode="0.0%"/>
    <numFmt numFmtId="169" formatCode="0%"/>
    <numFmt numFmtId="170" formatCode="\$#,##0.00;&quot;-$&quot;#,##0.00;\-"/>
    <numFmt numFmtId="171" formatCode="mm/dd/yyyy"/>
    <numFmt numFmtId="172" formatCode="\$#,##0.00"/>
    <numFmt numFmtId="173" formatCode="0&quot;GB&quot;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8000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SUM(D14:D33,F14:F33,H14:H33)+SUM(D36:D41)</f>
        <v>0</v>
      </c>
      <c r="D4" s="3" t="s">
        <v>3</v>
      </c>
    </row>
    <row r="5" customFormat="false" ht="15" hidden="false" customHeight="false" outlineLevel="0" collapsed="false">
      <c r="A5" s="3" t="s">
        <v>4</v>
      </c>
      <c r="B5" s="5" t="n">
        <f aca="false">SUMPRODUCT(C14:C33,D14:D33+F14:F33+H14:H33)</f>
        <v>0</v>
      </c>
      <c r="D5" s="6" t="str">
        <f aca="false">IF(COUNTIF(K14:K41,"NO PRICE*")&gt;0,"STOP: "&amp;COUNTIF(K14:K41,"NO PRICE*")&amp;" row(s) have sticks but no price on the list - see column K",IF(B8="","Enter your planned listing price in B8",IF(B9&lt;B10,"TOO LOW: "&amp;TEXT(B6-B8,"$#,##0")&amp;" under the price list ("&amp;TEXT(B9,"0%")&amp;")",IF(B9&gt;1.15,"Above the price list ("&amp;TEXT(B9,"0%")&amp;") - double-check","OK - "&amp;TEXT(B9,"0%")&amp;" of the price list"))))</f>
        <v>Enter your planned listing price in B8</v>
      </c>
      <c r="E5" s="6"/>
      <c r="F5" s="6"/>
      <c r="G5" s="6"/>
      <c r="H5" s="6"/>
      <c r="I5" s="6"/>
      <c r="J5" s="6"/>
      <c r="K5" s="6"/>
    </row>
    <row r="6" customFormat="false" ht="15" hidden="false" customHeight="false" outlineLevel="0" collapsed="false">
      <c r="A6" s="3" t="s">
        <v>5</v>
      </c>
      <c r="B6" s="7" t="n">
        <f aca="false">SUM(J14:J41)</f>
        <v>0</v>
      </c>
      <c r="D6" s="6"/>
      <c r="E6" s="6"/>
      <c r="F6" s="6"/>
      <c r="G6" s="6"/>
      <c r="H6" s="6"/>
      <c r="I6" s="6"/>
      <c r="J6" s="6"/>
      <c r="K6" s="6"/>
    </row>
    <row r="7" customFormat="false" ht="15" hidden="false" customHeight="false" outlineLevel="0" collapsed="false">
      <c r="A7" s="3" t="s">
        <v>6</v>
      </c>
      <c r="B7" s="7" t="str">
        <f aca="false">IF(B4=0,"",B6/B4)</f>
        <v/>
      </c>
    </row>
    <row r="8" customFormat="false" ht="15" hidden="false" customHeight="false" outlineLevel="0" collapsed="false">
      <c r="A8" s="3" t="s">
        <v>7</v>
      </c>
      <c r="B8" s="8"/>
    </row>
    <row r="9" customFormat="false" ht="15" hidden="false" customHeight="false" outlineLevel="0" collapsed="false">
      <c r="A9" s="3" t="s">
        <v>8</v>
      </c>
      <c r="B9" s="9" t="str">
        <f aca="false">IF(OR(B8="",B6=0),"",B8/B6)</f>
        <v/>
      </c>
    </row>
    <row r="10" customFormat="false" ht="15" hidden="false" customHeight="false" outlineLevel="0" collapsed="false">
      <c r="A10" s="3" t="s">
        <v>9</v>
      </c>
      <c r="B10" s="10" t="n">
        <v>0.9</v>
      </c>
    </row>
    <row r="12" customFormat="false" ht="15" hidden="true" customHeight="false" outlineLevel="0" collapsed="false">
      <c r="E12" s="0" t="s">
        <v>10</v>
      </c>
      <c r="G12" s="0" t="s">
        <v>11</v>
      </c>
      <c r="I12" s="0" t="s">
        <v>12</v>
      </c>
    </row>
    <row r="13" customFormat="false" ht="31.5" hidden="false" customHeight="true" outlineLevel="0" collapsed="false">
      <c r="A13" s="11" t="s">
        <v>13</v>
      </c>
      <c r="B13" s="11" t="s">
        <v>14</v>
      </c>
      <c r="C13" s="11" t="s">
        <v>15</v>
      </c>
      <c r="D13" s="11" t="s">
        <v>16</v>
      </c>
      <c r="E13" s="11" t="s">
        <v>17</v>
      </c>
      <c r="F13" s="11" t="s">
        <v>18</v>
      </c>
      <c r="G13" s="11" t="s">
        <v>19</v>
      </c>
      <c r="H13" s="11" t="s">
        <v>20</v>
      </c>
      <c r="I13" s="11" t="s">
        <v>21</v>
      </c>
      <c r="J13" s="11" t="s">
        <v>22</v>
      </c>
      <c r="K13" s="11" t="s">
        <v>23</v>
      </c>
    </row>
    <row r="14" customFormat="false" ht="15" hidden="false" customHeight="false" outlineLevel="0" collapsed="false">
      <c r="A14" s="12" t="s">
        <v>24</v>
      </c>
      <c r="B14" s="13" t="s">
        <v>25</v>
      </c>
      <c r="C14" s="12" t="n">
        <v>4</v>
      </c>
      <c r="D14" s="14"/>
      <c r="E14" s="15" t="n">
        <f aca="false">IF(COUNTIFS('Bulk Pricing'!$B:$B,$B14,'Bulk Pricing'!$C:$C,$C14,'Bulk Pricing'!$D:$D,E$12,'Bulk Pricing'!$E:$E,"&lt;&gt;")=0,"",SUMIFS('Bulk Pricing'!$E:$E,'Bulk Pricing'!$B:$B,$B14,'Bulk Pricing'!$C:$C,$C14,'Bulk Pricing'!$D:$D,E$12))</f>
        <v>7</v>
      </c>
      <c r="F14" s="14"/>
      <c r="G14" s="15" t="n">
        <f aca="false">IF(COUNTIFS('Bulk Pricing'!$B:$B,$B14,'Bulk Pricing'!$C:$C,$C14,'Bulk Pricing'!$D:$D,G$12,'Bulk Pricing'!$E:$E,"&lt;&gt;")=0,"",SUMIFS('Bulk Pricing'!$E:$E,'Bulk Pricing'!$B:$B,$B14,'Bulk Pricing'!$C:$C,$C14,'Bulk Pricing'!$D:$D,G$12))</f>
        <v>7</v>
      </c>
      <c r="H14" s="14"/>
      <c r="I14" s="15" t="n">
        <f aca="false">IF(COUNTIFS('Bulk Pricing'!$B:$B,$B14,'Bulk Pricing'!$C:$C,$C14,'Bulk Pricing'!$D:$D,I$12,'Bulk Pricing'!$E:$E,"&lt;&gt;")=0,"",SUMIFS('Bulk Pricing'!$E:$E,'Bulk Pricing'!$B:$B,$B14,'Bulk Pricing'!$C:$C,$C14,'Bulk Pricing'!$D:$D,I$12))</f>
        <v>7</v>
      </c>
      <c r="J14" s="16" t="n">
        <f aca="false">N(D14)*N(E14)+N(F14)*N(G14)+N(H14)*N(I14)</f>
        <v>0</v>
      </c>
      <c r="K14" s="13" t="str">
        <f aca="false">IF(OR(AND(N(D14)&gt;0,E14=""),AND(N(F14)&gt;0,G14=""),AND(N(H14)&gt;0,I14="")),"NO PRICE - qty entered but no price on list","")</f>
        <v/>
      </c>
    </row>
    <row r="15" customFormat="false" ht="15" hidden="false" customHeight="false" outlineLevel="0" collapsed="false">
      <c r="A15" s="12" t="s">
        <v>24</v>
      </c>
      <c r="B15" s="13" t="s">
        <v>25</v>
      </c>
      <c r="C15" s="12" t="n">
        <v>8</v>
      </c>
      <c r="D15" s="14"/>
      <c r="E15" s="15" t="n">
        <f aca="false">IF(COUNTIFS('Bulk Pricing'!$B:$B,$B15,'Bulk Pricing'!$C:$C,$C15,'Bulk Pricing'!$D:$D,E$12,'Bulk Pricing'!$E:$E,"&lt;&gt;")=0,"",SUMIFS('Bulk Pricing'!$E:$E,'Bulk Pricing'!$B:$B,$B15,'Bulk Pricing'!$C:$C,$C15,'Bulk Pricing'!$D:$D,E$12))</f>
        <v>11</v>
      </c>
      <c r="F15" s="14"/>
      <c r="G15" s="15" t="n">
        <f aca="false">IF(COUNTIFS('Bulk Pricing'!$B:$B,$B15,'Bulk Pricing'!$C:$C,$C15,'Bulk Pricing'!$D:$D,G$12,'Bulk Pricing'!$E:$E,"&lt;&gt;")=0,"",SUMIFS('Bulk Pricing'!$E:$E,'Bulk Pricing'!$B:$B,$B15,'Bulk Pricing'!$C:$C,$C15,'Bulk Pricing'!$D:$D,G$12))</f>
        <v>11</v>
      </c>
      <c r="H15" s="14"/>
      <c r="I15" s="15" t="n">
        <f aca="false">IF(COUNTIFS('Bulk Pricing'!$B:$B,$B15,'Bulk Pricing'!$C:$C,$C15,'Bulk Pricing'!$D:$D,I$12,'Bulk Pricing'!$E:$E,"&lt;&gt;")=0,"",SUMIFS('Bulk Pricing'!$E:$E,'Bulk Pricing'!$B:$B,$B15,'Bulk Pricing'!$C:$C,$C15,'Bulk Pricing'!$D:$D,I$12))</f>
        <v>11</v>
      </c>
      <c r="J15" s="16" t="n">
        <f aca="false">N(D15)*N(E15)+N(F15)*N(G15)+N(H15)*N(I15)</f>
        <v>0</v>
      </c>
      <c r="K15" s="13" t="str">
        <f aca="false">IF(OR(AND(N(D15)&gt;0,E15=""),AND(N(F15)&gt;0,G15=""),AND(N(H15)&gt;0,I15="")),"NO PRICE - qty entered but no price on list","")</f>
        <v/>
      </c>
    </row>
    <row r="16" customFormat="false" ht="15" hidden="false" customHeight="false" outlineLevel="0" collapsed="false">
      <c r="A16" s="12" t="s">
        <v>24</v>
      </c>
      <c r="B16" s="13" t="s">
        <v>26</v>
      </c>
      <c r="C16" s="12" t="n">
        <v>4</v>
      </c>
      <c r="D16" s="14"/>
      <c r="E16" s="15" t="n">
        <f aca="false">IF(COUNTIFS('Bulk Pricing'!$B:$B,$B16,'Bulk Pricing'!$C:$C,$C16,'Bulk Pricing'!$D:$D,E$12,'Bulk Pricing'!$E:$E,"&lt;&gt;")=0,"",SUMIFS('Bulk Pricing'!$E:$E,'Bulk Pricing'!$B:$B,$B16,'Bulk Pricing'!$C:$C,$C16,'Bulk Pricing'!$D:$D,E$12))</f>
        <v>7</v>
      </c>
      <c r="F16" s="14"/>
      <c r="G16" s="15" t="n">
        <f aca="false">IF(COUNTIFS('Bulk Pricing'!$B:$B,$B16,'Bulk Pricing'!$C:$C,$C16,'Bulk Pricing'!$D:$D,G$12,'Bulk Pricing'!$E:$E,"&lt;&gt;")=0,"",SUMIFS('Bulk Pricing'!$E:$E,'Bulk Pricing'!$B:$B,$B16,'Bulk Pricing'!$C:$C,$C16,'Bulk Pricing'!$D:$D,G$12))</f>
        <v>7</v>
      </c>
      <c r="H16" s="14"/>
      <c r="I16" s="15" t="n">
        <f aca="false">IF(COUNTIFS('Bulk Pricing'!$B:$B,$B16,'Bulk Pricing'!$C:$C,$C16,'Bulk Pricing'!$D:$D,I$12,'Bulk Pricing'!$E:$E,"&lt;&gt;")=0,"",SUMIFS('Bulk Pricing'!$E:$E,'Bulk Pricing'!$B:$B,$B16,'Bulk Pricing'!$C:$C,$C16,'Bulk Pricing'!$D:$D,I$12))</f>
        <v>7</v>
      </c>
      <c r="J16" s="16" t="n">
        <f aca="false">N(D16)*N(E16)+N(F16)*N(G16)+N(H16)*N(I16)</f>
        <v>0</v>
      </c>
      <c r="K16" s="13" t="str">
        <f aca="false">IF(OR(AND(N(D16)&gt;0,E16=""),AND(N(F16)&gt;0,G16=""),AND(N(H16)&gt;0,I16="")),"NO PRICE - qty entered but no price on list","")</f>
        <v/>
      </c>
    </row>
    <row r="17" customFormat="false" ht="15" hidden="false" customHeight="false" outlineLevel="0" collapsed="false">
      <c r="A17" s="12" t="s">
        <v>24</v>
      </c>
      <c r="B17" s="13" t="s">
        <v>26</v>
      </c>
      <c r="C17" s="12" t="n">
        <v>8</v>
      </c>
      <c r="D17" s="14"/>
      <c r="E17" s="15" t="n">
        <f aca="false">IF(COUNTIFS('Bulk Pricing'!$B:$B,$B17,'Bulk Pricing'!$C:$C,$C17,'Bulk Pricing'!$D:$D,E$12,'Bulk Pricing'!$E:$E,"&lt;&gt;")=0,"",SUMIFS('Bulk Pricing'!$E:$E,'Bulk Pricing'!$B:$B,$B17,'Bulk Pricing'!$C:$C,$C17,'Bulk Pricing'!$D:$D,E$12))</f>
        <v>11</v>
      </c>
      <c r="F17" s="14"/>
      <c r="G17" s="15" t="n">
        <f aca="false">IF(COUNTIFS('Bulk Pricing'!$B:$B,$B17,'Bulk Pricing'!$C:$C,$C17,'Bulk Pricing'!$D:$D,G$12,'Bulk Pricing'!$E:$E,"&lt;&gt;")=0,"",SUMIFS('Bulk Pricing'!$E:$E,'Bulk Pricing'!$B:$B,$B17,'Bulk Pricing'!$C:$C,$C17,'Bulk Pricing'!$D:$D,G$12))</f>
        <v>11</v>
      </c>
      <c r="H17" s="14"/>
      <c r="I17" s="15" t="n">
        <f aca="false">IF(COUNTIFS('Bulk Pricing'!$B:$B,$B17,'Bulk Pricing'!$C:$C,$C17,'Bulk Pricing'!$D:$D,I$12,'Bulk Pricing'!$E:$E,"&lt;&gt;")=0,"",SUMIFS('Bulk Pricing'!$E:$E,'Bulk Pricing'!$B:$B,$B17,'Bulk Pricing'!$C:$C,$C17,'Bulk Pricing'!$D:$D,I$12))</f>
        <v>11</v>
      </c>
      <c r="J17" s="16" t="n">
        <f aca="false">N(D17)*N(E17)+N(F17)*N(G17)+N(H17)*N(I17)</f>
        <v>0</v>
      </c>
      <c r="K17" s="13" t="str">
        <f aca="false">IF(OR(AND(N(D17)&gt;0,E17=""),AND(N(F17)&gt;0,G17=""),AND(N(H17)&gt;0,I17="")),"NO PRICE - qty entered but no price on list","")</f>
        <v/>
      </c>
    </row>
    <row r="18" customFormat="false" ht="15" hidden="false" customHeight="false" outlineLevel="0" collapsed="false">
      <c r="A18" s="12" t="s">
        <v>27</v>
      </c>
      <c r="B18" s="13" t="s">
        <v>28</v>
      </c>
      <c r="C18" s="12" t="n">
        <v>4</v>
      </c>
      <c r="D18" s="14"/>
      <c r="E18" s="15" t="n">
        <f aca="false">IF(COUNTIFS('Bulk Pricing'!$B:$B,$B18,'Bulk Pricing'!$C:$C,$C18,'Bulk Pricing'!$D:$D,E$12,'Bulk Pricing'!$E:$E,"&lt;&gt;")=0,"",SUMIFS('Bulk Pricing'!$E:$E,'Bulk Pricing'!$B:$B,$B18,'Bulk Pricing'!$C:$C,$C18,'Bulk Pricing'!$D:$D,E$12))</f>
        <v>12</v>
      </c>
      <c r="F18" s="14"/>
      <c r="G18" s="15" t="n">
        <f aca="false">IF(COUNTIFS('Bulk Pricing'!$B:$B,$B18,'Bulk Pricing'!$C:$C,$C18,'Bulk Pricing'!$D:$D,G$12,'Bulk Pricing'!$E:$E,"&lt;&gt;")=0,"",SUMIFS('Bulk Pricing'!$E:$E,'Bulk Pricing'!$B:$B,$B18,'Bulk Pricing'!$C:$C,$C18,'Bulk Pricing'!$D:$D,G$12))</f>
        <v>12</v>
      </c>
      <c r="H18" s="14"/>
      <c r="I18" s="15" t="n">
        <f aca="false">IF(COUNTIFS('Bulk Pricing'!$B:$B,$B18,'Bulk Pricing'!$C:$C,$C18,'Bulk Pricing'!$D:$D,I$12,'Bulk Pricing'!$E:$E,"&lt;&gt;")=0,"",SUMIFS('Bulk Pricing'!$E:$E,'Bulk Pricing'!$B:$B,$B18,'Bulk Pricing'!$C:$C,$C18,'Bulk Pricing'!$D:$D,I$12))</f>
        <v>12</v>
      </c>
      <c r="J18" s="16" t="n">
        <f aca="false">N(D18)*N(E18)+N(F18)*N(G18)+N(H18)*N(I18)</f>
        <v>0</v>
      </c>
      <c r="K18" s="13" t="str">
        <f aca="false">IF(OR(AND(N(D18)&gt;0,E18=""),AND(N(F18)&gt;0,G18=""),AND(N(H18)&gt;0,I18="")),"NO PRICE - qty entered but no price on list","")</f>
        <v/>
      </c>
    </row>
    <row r="19" customFormat="false" ht="15" hidden="false" customHeight="false" outlineLevel="0" collapsed="false">
      <c r="A19" s="12" t="s">
        <v>27</v>
      </c>
      <c r="B19" s="13" t="s">
        <v>28</v>
      </c>
      <c r="C19" s="12" t="n">
        <v>8</v>
      </c>
      <c r="D19" s="14"/>
      <c r="E19" s="15" t="n">
        <f aca="false">IF(COUNTIFS('Bulk Pricing'!$B:$B,$B19,'Bulk Pricing'!$C:$C,$C19,'Bulk Pricing'!$D:$D,E$12,'Bulk Pricing'!$E:$E,"&lt;&gt;")=0,"",SUMIFS('Bulk Pricing'!$E:$E,'Bulk Pricing'!$B:$B,$B19,'Bulk Pricing'!$C:$C,$C19,'Bulk Pricing'!$D:$D,E$12))</f>
        <v>24</v>
      </c>
      <c r="F19" s="14"/>
      <c r="G19" s="15" t="n">
        <f aca="false">IF(COUNTIFS('Bulk Pricing'!$B:$B,$B19,'Bulk Pricing'!$C:$C,$C19,'Bulk Pricing'!$D:$D,G$12,'Bulk Pricing'!$E:$E,"&lt;&gt;")=0,"",SUMIFS('Bulk Pricing'!$E:$E,'Bulk Pricing'!$B:$B,$B19,'Bulk Pricing'!$C:$C,$C19,'Bulk Pricing'!$D:$D,G$12))</f>
        <v>24</v>
      </c>
      <c r="H19" s="14"/>
      <c r="I19" s="15" t="n">
        <f aca="false">IF(COUNTIFS('Bulk Pricing'!$B:$B,$B19,'Bulk Pricing'!$C:$C,$C19,'Bulk Pricing'!$D:$D,I$12,'Bulk Pricing'!$E:$E,"&lt;&gt;")=0,"",SUMIFS('Bulk Pricing'!$E:$E,'Bulk Pricing'!$B:$B,$B19,'Bulk Pricing'!$C:$C,$C19,'Bulk Pricing'!$D:$D,I$12))</f>
        <v>25</v>
      </c>
      <c r="J19" s="16" t="n">
        <f aca="false">N(D19)*N(E19)+N(F19)*N(G19)+N(H19)*N(I19)</f>
        <v>0</v>
      </c>
      <c r="K19" s="13" t="str">
        <f aca="false">IF(OR(AND(N(D19)&gt;0,E19=""),AND(N(F19)&gt;0,G19=""),AND(N(H19)&gt;0,I19="")),"NO PRICE - qty entered but no price on list","")</f>
        <v/>
      </c>
    </row>
    <row r="20" customFormat="false" ht="15" hidden="false" customHeight="false" outlineLevel="0" collapsed="false">
      <c r="A20" s="12" t="s">
        <v>27</v>
      </c>
      <c r="B20" s="13" t="s">
        <v>28</v>
      </c>
      <c r="C20" s="12" t="n">
        <v>16</v>
      </c>
      <c r="D20" s="14"/>
      <c r="E20" s="15" t="n">
        <f aca="false">IF(COUNTIFS('Bulk Pricing'!$B:$B,$B20,'Bulk Pricing'!$C:$C,$C20,'Bulk Pricing'!$D:$D,E$12,'Bulk Pricing'!$E:$E,"&lt;&gt;")=0,"",SUMIFS('Bulk Pricing'!$E:$E,'Bulk Pricing'!$B:$B,$B20,'Bulk Pricing'!$C:$C,$C20,'Bulk Pricing'!$D:$D,E$12))</f>
        <v>50.5</v>
      </c>
      <c r="F20" s="14"/>
      <c r="G20" s="15" t="n">
        <f aca="false">IF(COUNTIFS('Bulk Pricing'!$B:$B,$B20,'Bulk Pricing'!$C:$C,$C20,'Bulk Pricing'!$D:$D,G$12,'Bulk Pricing'!$E:$E,"&lt;&gt;")=0,"",SUMIFS('Bulk Pricing'!$E:$E,'Bulk Pricing'!$B:$B,$B20,'Bulk Pricing'!$C:$C,$C20,'Bulk Pricing'!$D:$D,G$12))</f>
        <v>50.5</v>
      </c>
      <c r="H20" s="14"/>
      <c r="I20" s="15" t="n">
        <f aca="false">IF(COUNTIFS('Bulk Pricing'!$B:$B,$B20,'Bulk Pricing'!$C:$C,$C20,'Bulk Pricing'!$D:$D,I$12,'Bulk Pricing'!$E:$E,"&lt;&gt;")=0,"",SUMIFS('Bulk Pricing'!$E:$E,'Bulk Pricing'!$B:$B,$B20,'Bulk Pricing'!$C:$C,$C20,'Bulk Pricing'!$D:$D,I$12))</f>
        <v>42.5</v>
      </c>
      <c r="J20" s="16" t="n">
        <f aca="false">N(D20)*N(E20)+N(F20)*N(G20)+N(H20)*N(I20)</f>
        <v>0</v>
      </c>
      <c r="K20" s="13" t="str">
        <f aca="false">IF(OR(AND(N(D20)&gt;0,E20=""),AND(N(F20)&gt;0,G20=""),AND(N(H20)&gt;0,I20="")),"NO PRICE - qty entered but no price on list","")</f>
        <v/>
      </c>
    </row>
    <row r="21" customFormat="false" ht="15" hidden="false" customHeight="false" outlineLevel="0" collapsed="false">
      <c r="A21" s="12" t="s">
        <v>27</v>
      </c>
      <c r="B21" s="13" t="s">
        <v>28</v>
      </c>
      <c r="C21" s="12" t="n">
        <v>32</v>
      </c>
      <c r="D21" s="14"/>
      <c r="E21" s="15" t="n">
        <f aca="false">IF(COUNTIFS('Bulk Pricing'!$B:$B,$B21,'Bulk Pricing'!$C:$C,$C21,'Bulk Pricing'!$D:$D,E$12,'Bulk Pricing'!$E:$E,"&lt;&gt;")=0,"",SUMIFS('Bulk Pricing'!$E:$E,'Bulk Pricing'!$B:$B,$B21,'Bulk Pricing'!$C:$C,$C21,'Bulk Pricing'!$D:$D,E$12))</f>
        <v>103.5</v>
      </c>
      <c r="F21" s="14"/>
      <c r="G21" s="15" t="n">
        <f aca="false">IF(COUNTIFS('Bulk Pricing'!$B:$B,$B21,'Bulk Pricing'!$C:$C,$C21,'Bulk Pricing'!$D:$D,G$12,'Bulk Pricing'!$E:$E,"&lt;&gt;")=0,"",SUMIFS('Bulk Pricing'!$E:$E,'Bulk Pricing'!$B:$B,$B21,'Bulk Pricing'!$C:$C,$C21,'Bulk Pricing'!$D:$D,G$12))</f>
        <v>103.5</v>
      </c>
      <c r="H21" s="14"/>
      <c r="I21" s="15" t="n">
        <f aca="false">IF(COUNTIFS('Bulk Pricing'!$B:$B,$B21,'Bulk Pricing'!$C:$C,$C21,'Bulk Pricing'!$D:$D,I$12,'Bulk Pricing'!$E:$E,"&lt;&gt;")=0,"",SUMIFS('Bulk Pricing'!$E:$E,'Bulk Pricing'!$B:$B,$B21,'Bulk Pricing'!$C:$C,$C21,'Bulk Pricing'!$D:$D,I$12))</f>
        <v>87.5</v>
      </c>
      <c r="J21" s="16" t="n">
        <f aca="false">N(D21)*N(E21)+N(F21)*N(G21)+N(H21)*N(I21)</f>
        <v>0</v>
      </c>
      <c r="K21" s="13" t="str">
        <f aca="false">IF(OR(AND(N(D21)&gt;0,E21=""),AND(N(F21)&gt;0,G21=""),AND(N(H21)&gt;0,I21="")),"NO PRICE - qty entered but no price on list","")</f>
        <v/>
      </c>
    </row>
    <row r="22" customFormat="false" ht="15" hidden="false" customHeight="false" outlineLevel="0" collapsed="false">
      <c r="A22" s="12" t="s">
        <v>27</v>
      </c>
      <c r="B22" s="13" t="s">
        <v>29</v>
      </c>
      <c r="C22" s="12" t="n">
        <v>4</v>
      </c>
      <c r="D22" s="14"/>
      <c r="E22" s="15" t="n">
        <f aca="false">IF(COUNTIFS('Bulk Pricing'!$B:$B,$B22,'Bulk Pricing'!$C:$C,$C22,'Bulk Pricing'!$D:$D,E$12,'Bulk Pricing'!$E:$E,"&lt;&gt;")=0,"",SUMIFS('Bulk Pricing'!$E:$E,'Bulk Pricing'!$B:$B,$B22,'Bulk Pricing'!$C:$C,$C22,'Bulk Pricing'!$D:$D,E$12))</f>
        <v>12</v>
      </c>
      <c r="F22" s="14"/>
      <c r="G22" s="15" t="n">
        <f aca="false">IF(COUNTIFS('Bulk Pricing'!$B:$B,$B22,'Bulk Pricing'!$C:$C,$C22,'Bulk Pricing'!$D:$D,G$12,'Bulk Pricing'!$E:$E,"&lt;&gt;")=0,"",SUMIFS('Bulk Pricing'!$E:$E,'Bulk Pricing'!$B:$B,$B22,'Bulk Pricing'!$C:$C,$C22,'Bulk Pricing'!$D:$D,G$12))</f>
        <v>12</v>
      </c>
      <c r="H22" s="14"/>
      <c r="I22" s="15" t="n">
        <f aca="false">IF(COUNTIFS('Bulk Pricing'!$B:$B,$B22,'Bulk Pricing'!$C:$C,$C22,'Bulk Pricing'!$D:$D,I$12,'Bulk Pricing'!$E:$E,"&lt;&gt;")=0,"",SUMIFS('Bulk Pricing'!$E:$E,'Bulk Pricing'!$B:$B,$B22,'Bulk Pricing'!$C:$C,$C22,'Bulk Pricing'!$D:$D,I$12))</f>
        <v>12</v>
      </c>
      <c r="J22" s="16" t="n">
        <f aca="false">N(D22)*N(E22)+N(F22)*N(G22)+N(H22)*N(I22)</f>
        <v>0</v>
      </c>
      <c r="K22" s="13" t="str">
        <f aca="false">IF(OR(AND(N(D22)&gt;0,E22=""),AND(N(F22)&gt;0,G22=""),AND(N(H22)&gt;0,I22="")),"NO PRICE - qty entered but no price on list","")</f>
        <v/>
      </c>
    </row>
    <row r="23" customFormat="false" ht="15" hidden="false" customHeight="false" outlineLevel="0" collapsed="false">
      <c r="A23" s="12" t="s">
        <v>27</v>
      </c>
      <c r="B23" s="13" t="s">
        <v>29</v>
      </c>
      <c r="C23" s="12" t="n">
        <v>8</v>
      </c>
      <c r="D23" s="14"/>
      <c r="E23" s="15" t="n">
        <f aca="false">IF(COUNTIFS('Bulk Pricing'!$B:$B,$B23,'Bulk Pricing'!$C:$C,$C23,'Bulk Pricing'!$D:$D,E$12,'Bulk Pricing'!$E:$E,"&lt;&gt;")=0,"",SUMIFS('Bulk Pricing'!$E:$E,'Bulk Pricing'!$B:$B,$B23,'Bulk Pricing'!$C:$C,$C23,'Bulk Pricing'!$D:$D,E$12))</f>
        <v>24</v>
      </c>
      <c r="F23" s="14"/>
      <c r="G23" s="15" t="n">
        <f aca="false">IF(COUNTIFS('Bulk Pricing'!$B:$B,$B23,'Bulk Pricing'!$C:$C,$C23,'Bulk Pricing'!$D:$D,G$12,'Bulk Pricing'!$E:$E,"&lt;&gt;")=0,"",SUMIFS('Bulk Pricing'!$E:$E,'Bulk Pricing'!$B:$B,$B23,'Bulk Pricing'!$C:$C,$C23,'Bulk Pricing'!$D:$D,G$12))</f>
        <v>24</v>
      </c>
      <c r="H23" s="14"/>
      <c r="I23" s="15" t="n">
        <f aca="false">IF(COUNTIFS('Bulk Pricing'!$B:$B,$B23,'Bulk Pricing'!$C:$C,$C23,'Bulk Pricing'!$D:$D,I$12,'Bulk Pricing'!$E:$E,"&lt;&gt;")=0,"",SUMIFS('Bulk Pricing'!$E:$E,'Bulk Pricing'!$B:$B,$B23,'Bulk Pricing'!$C:$C,$C23,'Bulk Pricing'!$D:$D,I$12))</f>
        <v>25</v>
      </c>
      <c r="J23" s="16" t="n">
        <f aca="false">N(D23)*N(E23)+N(F23)*N(G23)+N(H23)*N(I23)</f>
        <v>0</v>
      </c>
      <c r="K23" s="13" t="str">
        <f aca="false">IF(OR(AND(N(D23)&gt;0,E23=""),AND(N(F23)&gt;0,G23=""),AND(N(H23)&gt;0,I23="")),"NO PRICE - qty entered but no price on list","")</f>
        <v/>
      </c>
    </row>
    <row r="24" customFormat="false" ht="15" hidden="false" customHeight="false" outlineLevel="0" collapsed="false">
      <c r="A24" s="12" t="s">
        <v>27</v>
      </c>
      <c r="B24" s="13" t="s">
        <v>29</v>
      </c>
      <c r="C24" s="12" t="n">
        <v>16</v>
      </c>
      <c r="D24" s="14"/>
      <c r="E24" s="15" t="n">
        <f aca="false">IF(COUNTIFS('Bulk Pricing'!$B:$B,$B24,'Bulk Pricing'!$C:$C,$C24,'Bulk Pricing'!$D:$D,E$12,'Bulk Pricing'!$E:$E,"&lt;&gt;")=0,"",SUMIFS('Bulk Pricing'!$E:$E,'Bulk Pricing'!$B:$B,$B24,'Bulk Pricing'!$C:$C,$C24,'Bulk Pricing'!$D:$D,E$12))</f>
        <v>50.5</v>
      </c>
      <c r="F24" s="14"/>
      <c r="G24" s="15" t="n">
        <f aca="false">IF(COUNTIFS('Bulk Pricing'!$B:$B,$B24,'Bulk Pricing'!$C:$C,$C24,'Bulk Pricing'!$D:$D,G$12,'Bulk Pricing'!$E:$E,"&lt;&gt;")=0,"",SUMIFS('Bulk Pricing'!$E:$E,'Bulk Pricing'!$B:$B,$B24,'Bulk Pricing'!$C:$C,$C24,'Bulk Pricing'!$D:$D,G$12))</f>
        <v>50.5</v>
      </c>
      <c r="H24" s="14"/>
      <c r="I24" s="15" t="n">
        <f aca="false">IF(COUNTIFS('Bulk Pricing'!$B:$B,$B24,'Bulk Pricing'!$C:$C,$C24,'Bulk Pricing'!$D:$D,I$12,'Bulk Pricing'!$E:$E,"&lt;&gt;")=0,"",SUMIFS('Bulk Pricing'!$E:$E,'Bulk Pricing'!$B:$B,$B24,'Bulk Pricing'!$C:$C,$C24,'Bulk Pricing'!$D:$D,I$12))</f>
        <v>50.5</v>
      </c>
      <c r="J24" s="16" t="n">
        <f aca="false">N(D24)*N(E24)+N(F24)*N(G24)+N(H24)*N(I24)</f>
        <v>0</v>
      </c>
      <c r="K24" s="13" t="str">
        <f aca="false">IF(OR(AND(N(D24)&gt;0,E24=""),AND(N(F24)&gt;0,G24=""),AND(N(H24)&gt;0,I24="")),"NO PRICE - qty entered but no price on list","")</f>
        <v/>
      </c>
    </row>
    <row r="25" customFormat="false" ht="15" hidden="false" customHeight="false" outlineLevel="0" collapsed="false">
      <c r="A25" s="12" t="s">
        <v>27</v>
      </c>
      <c r="B25" s="13" t="s">
        <v>29</v>
      </c>
      <c r="C25" s="12" t="n">
        <v>32</v>
      </c>
      <c r="D25" s="14"/>
      <c r="E25" s="15" t="n">
        <f aca="false">IF(COUNTIFS('Bulk Pricing'!$B:$B,$B25,'Bulk Pricing'!$C:$C,$C25,'Bulk Pricing'!$D:$D,E$12,'Bulk Pricing'!$E:$E,"&lt;&gt;")=0,"",SUMIFS('Bulk Pricing'!$E:$E,'Bulk Pricing'!$B:$B,$B25,'Bulk Pricing'!$C:$C,$C25,'Bulk Pricing'!$D:$D,E$12))</f>
        <v>103.5</v>
      </c>
      <c r="F25" s="14"/>
      <c r="G25" s="15" t="n">
        <f aca="false">IF(COUNTIFS('Bulk Pricing'!$B:$B,$B25,'Bulk Pricing'!$C:$C,$C25,'Bulk Pricing'!$D:$D,G$12,'Bulk Pricing'!$E:$E,"&lt;&gt;")=0,"",SUMIFS('Bulk Pricing'!$E:$E,'Bulk Pricing'!$B:$B,$B25,'Bulk Pricing'!$C:$C,$C25,'Bulk Pricing'!$D:$D,G$12))</f>
        <v>103.5</v>
      </c>
      <c r="H25" s="14"/>
      <c r="I25" s="15" t="n">
        <f aca="false">IF(COUNTIFS('Bulk Pricing'!$B:$B,$B25,'Bulk Pricing'!$C:$C,$C25,'Bulk Pricing'!$D:$D,I$12,'Bulk Pricing'!$E:$E,"&lt;&gt;")=0,"",SUMIFS('Bulk Pricing'!$E:$E,'Bulk Pricing'!$B:$B,$B25,'Bulk Pricing'!$C:$C,$C25,'Bulk Pricing'!$D:$D,I$12))</f>
        <v>103.5</v>
      </c>
      <c r="J25" s="16" t="n">
        <f aca="false">N(D25)*N(E25)+N(F25)*N(G25)+N(H25)*N(I25)</f>
        <v>0</v>
      </c>
      <c r="K25" s="13" t="str">
        <f aca="false">IF(OR(AND(N(D25)&gt;0,E25=""),AND(N(F25)&gt;0,G25=""),AND(N(H25)&gt;0,I25="")),"NO PRICE - qty entered but no price on list","")</f>
        <v/>
      </c>
    </row>
    <row r="26" customFormat="false" ht="15" hidden="false" customHeight="false" outlineLevel="0" collapsed="false">
      <c r="A26" s="12" t="s">
        <v>27</v>
      </c>
      <c r="B26" s="13" t="s">
        <v>30</v>
      </c>
      <c r="C26" s="12" t="n">
        <v>4</v>
      </c>
      <c r="D26" s="14"/>
      <c r="E26" s="15" t="n">
        <f aca="false">IF(COUNTIFS('Bulk Pricing'!$B:$B,$B26,'Bulk Pricing'!$C:$C,$C26,'Bulk Pricing'!$D:$D,E$12,'Bulk Pricing'!$E:$E,"&lt;&gt;")=0,"",SUMIFS('Bulk Pricing'!$E:$E,'Bulk Pricing'!$B:$B,$B26,'Bulk Pricing'!$C:$C,$C26,'Bulk Pricing'!$D:$D,E$12))</f>
        <v>13</v>
      </c>
      <c r="F26" s="14"/>
      <c r="G26" s="15" t="n">
        <f aca="false">IF(COUNTIFS('Bulk Pricing'!$B:$B,$B26,'Bulk Pricing'!$C:$C,$C26,'Bulk Pricing'!$D:$D,G$12,'Bulk Pricing'!$E:$E,"&lt;&gt;")=0,"",SUMIFS('Bulk Pricing'!$E:$E,'Bulk Pricing'!$B:$B,$B26,'Bulk Pricing'!$C:$C,$C26,'Bulk Pricing'!$D:$D,G$12))</f>
        <v>13</v>
      </c>
      <c r="H26" s="14"/>
      <c r="I26" s="15" t="n">
        <f aca="false">IF(COUNTIFS('Bulk Pricing'!$B:$B,$B26,'Bulk Pricing'!$C:$C,$C26,'Bulk Pricing'!$D:$D,I$12,'Bulk Pricing'!$E:$E,"&lt;&gt;")=0,"",SUMIFS('Bulk Pricing'!$E:$E,'Bulk Pricing'!$B:$B,$B26,'Bulk Pricing'!$C:$C,$C26,'Bulk Pricing'!$D:$D,I$12))</f>
        <v>13</v>
      </c>
      <c r="J26" s="16" t="n">
        <f aca="false">N(D26)*N(E26)+N(F26)*N(G26)+N(H26)*N(I26)</f>
        <v>0</v>
      </c>
      <c r="K26" s="13" t="str">
        <f aca="false">IF(OR(AND(N(D26)&gt;0,E26=""),AND(N(F26)&gt;0,G26=""),AND(N(H26)&gt;0,I26="")),"NO PRICE - qty entered but no price on list","")</f>
        <v/>
      </c>
    </row>
    <row r="27" customFormat="false" ht="15" hidden="false" customHeight="false" outlineLevel="0" collapsed="false">
      <c r="A27" s="12" t="s">
        <v>27</v>
      </c>
      <c r="B27" s="13" t="s">
        <v>30</v>
      </c>
      <c r="C27" s="12" t="n">
        <v>8</v>
      </c>
      <c r="D27" s="14"/>
      <c r="E27" s="15" t="n">
        <f aca="false">IF(COUNTIFS('Bulk Pricing'!$B:$B,$B27,'Bulk Pricing'!$C:$C,$C27,'Bulk Pricing'!$D:$D,E$12,'Bulk Pricing'!$E:$E,"&lt;&gt;")=0,"",SUMIFS('Bulk Pricing'!$E:$E,'Bulk Pricing'!$B:$B,$B27,'Bulk Pricing'!$C:$C,$C27,'Bulk Pricing'!$D:$D,E$12))</f>
        <v>26</v>
      </c>
      <c r="F27" s="14"/>
      <c r="G27" s="15" t="n">
        <f aca="false">IF(COUNTIFS('Bulk Pricing'!$B:$B,$B27,'Bulk Pricing'!$C:$C,$C27,'Bulk Pricing'!$D:$D,G$12,'Bulk Pricing'!$E:$E,"&lt;&gt;")=0,"",SUMIFS('Bulk Pricing'!$E:$E,'Bulk Pricing'!$B:$B,$B27,'Bulk Pricing'!$C:$C,$C27,'Bulk Pricing'!$D:$D,G$12))</f>
        <v>26</v>
      </c>
      <c r="H27" s="14"/>
      <c r="I27" s="15" t="n">
        <f aca="false">IF(COUNTIFS('Bulk Pricing'!$B:$B,$B27,'Bulk Pricing'!$C:$C,$C27,'Bulk Pricing'!$D:$D,I$12,'Bulk Pricing'!$E:$E,"&lt;&gt;")=0,"",SUMIFS('Bulk Pricing'!$E:$E,'Bulk Pricing'!$B:$B,$B27,'Bulk Pricing'!$C:$C,$C27,'Bulk Pricing'!$D:$D,I$12))</f>
        <v>26</v>
      </c>
      <c r="J27" s="16" t="n">
        <f aca="false">N(D27)*N(E27)+N(F27)*N(G27)+N(H27)*N(I27)</f>
        <v>0</v>
      </c>
      <c r="K27" s="13" t="str">
        <f aca="false">IF(OR(AND(N(D27)&gt;0,E27=""),AND(N(F27)&gt;0,G27=""),AND(N(H27)&gt;0,I27="")),"NO PRICE - qty entered but no price on list","")</f>
        <v/>
      </c>
    </row>
    <row r="28" customFormat="false" ht="15" hidden="false" customHeight="false" outlineLevel="0" collapsed="false">
      <c r="A28" s="12" t="s">
        <v>27</v>
      </c>
      <c r="B28" s="13" t="s">
        <v>30</v>
      </c>
      <c r="C28" s="12" t="n">
        <v>16</v>
      </c>
      <c r="D28" s="14"/>
      <c r="E28" s="15" t="n">
        <f aca="false">IF(COUNTIFS('Bulk Pricing'!$B:$B,$B28,'Bulk Pricing'!$C:$C,$C28,'Bulk Pricing'!$D:$D,E$12,'Bulk Pricing'!$E:$E,"&lt;&gt;")=0,"",SUMIFS('Bulk Pricing'!$E:$E,'Bulk Pricing'!$B:$B,$B28,'Bulk Pricing'!$C:$C,$C28,'Bulk Pricing'!$D:$D,E$12))</f>
        <v>54.5</v>
      </c>
      <c r="F28" s="14"/>
      <c r="G28" s="15" t="n">
        <f aca="false">IF(COUNTIFS('Bulk Pricing'!$B:$B,$B28,'Bulk Pricing'!$C:$C,$C28,'Bulk Pricing'!$D:$D,G$12,'Bulk Pricing'!$E:$E,"&lt;&gt;")=0,"",SUMIFS('Bulk Pricing'!$E:$E,'Bulk Pricing'!$B:$B,$B28,'Bulk Pricing'!$C:$C,$C28,'Bulk Pricing'!$D:$D,G$12))</f>
        <v>54.5</v>
      </c>
      <c r="H28" s="14"/>
      <c r="I28" s="15" t="n">
        <f aca="false">IF(COUNTIFS('Bulk Pricing'!$B:$B,$B28,'Bulk Pricing'!$C:$C,$C28,'Bulk Pricing'!$D:$D,I$12,'Bulk Pricing'!$E:$E,"&lt;&gt;")=0,"",SUMIFS('Bulk Pricing'!$E:$E,'Bulk Pricing'!$B:$B,$B28,'Bulk Pricing'!$C:$C,$C28,'Bulk Pricing'!$D:$D,I$12))</f>
        <v>54.5</v>
      </c>
      <c r="J28" s="16" t="n">
        <f aca="false">N(D28)*N(E28)+N(F28)*N(G28)+N(H28)*N(I28)</f>
        <v>0</v>
      </c>
      <c r="K28" s="13" t="str">
        <f aca="false">IF(OR(AND(N(D28)&gt;0,E28=""),AND(N(F28)&gt;0,G28=""),AND(N(H28)&gt;0,I28="")),"NO PRICE - qty entered but no price on list","")</f>
        <v/>
      </c>
    </row>
    <row r="29" customFormat="false" ht="15" hidden="false" customHeight="false" outlineLevel="0" collapsed="false">
      <c r="A29" s="12" t="s">
        <v>27</v>
      </c>
      <c r="B29" s="13" t="s">
        <v>30</v>
      </c>
      <c r="C29" s="12" t="n">
        <v>32</v>
      </c>
      <c r="D29" s="14"/>
      <c r="E29" s="15" t="n">
        <f aca="false">IF(COUNTIFS('Bulk Pricing'!$B:$B,$B29,'Bulk Pricing'!$C:$C,$C29,'Bulk Pricing'!$D:$D,E$12,'Bulk Pricing'!$E:$E,"&lt;&gt;")=0,"",SUMIFS('Bulk Pricing'!$E:$E,'Bulk Pricing'!$B:$B,$B29,'Bulk Pricing'!$C:$C,$C29,'Bulk Pricing'!$D:$D,E$12))</f>
        <v>111.5</v>
      </c>
      <c r="F29" s="14"/>
      <c r="G29" s="15" t="n">
        <f aca="false">IF(COUNTIFS('Bulk Pricing'!$B:$B,$B29,'Bulk Pricing'!$C:$C,$C29,'Bulk Pricing'!$D:$D,G$12,'Bulk Pricing'!$E:$E,"&lt;&gt;")=0,"",SUMIFS('Bulk Pricing'!$E:$E,'Bulk Pricing'!$B:$B,$B29,'Bulk Pricing'!$C:$C,$C29,'Bulk Pricing'!$D:$D,G$12))</f>
        <v>111.5</v>
      </c>
      <c r="H29" s="14"/>
      <c r="I29" s="15" t="n">
        <f aca="false">IF(COUNTIFS('Bulk Pricing'!$B:$B,$B29,'Bulk Pricing'!$C:$C,$C29,'Bulk Pricing'!$D:$D,I$12,'Bulk Pricing'!$E:$E,"&lt;&gt;")=0,"",SUMIFS('Bulk Pricing'!$E:$E,'Bulk Pricing'!$B:$B,$B29,'Bulk Pricing'!$C:$C,$C29,'Bulk Pricing'!$D:$D,I$12))</f>
        <v>175</v>
      </c>
      <c r="J29" s="16" t="n">
        <f aca="false">N(D29)*N(E29)+N(F29)*N(G29)+N(H29)*N(I29)</f>
        <v>0</v>
      </c>
      <c r="K29" s="13" t="str">
        <f aca="false">IF(OR(AND(N(D29)&gt;0,E29=""),AND(N(F29)&gt;0,G29=""),AND(N(H29)&gt;0,I29="")),"NO PRICE - qty entered but no price on list","")</f>
        <v/>
      </c>
    </row>
    <row r="30" customFormat="false" ht="15" hidden="false" customHeight="false" outlineLevel="0" collapsed="false">
      <c r="A30" s="12" t="s">
        <v>27</v>
      </c>
      <c r="B30" s="13" t="s">
        <v>31</v>
      </c>
      <c r="C30" s="12" t="n">
        <v>4</v>
      </c>
      <c r="D30" s="14"/>
      <c r="E30" s="15" t="n">
        <f aca="false">IF(COUNTIFS('Bulk Pricing'!$B:$B,$B30,'Bulk Pricing'!$C:$C,$C30,'Bulk Pricing'!$D:$D,E$12,'Bulk Pricing'!$E:$E,"&lt;&gt;")=0,"",SUMIFS('Bulk Pricing'!$E:$E,'Bulk Pricing'!$B:$B,$B30,'Bulk Pricing'!$C:$C,$C30,'Bulk Pricing'!$D:$D,E$12))</f>
        <v>15</v>
      </c>
      <c r="F30" s="14"/>
      <c r="G30" s="15" t="n">
        <f aca="false">IF(COUNTIFS('Bulk Pricing'!$B:$B,$B30,'Bulk Pricing'!$C:$C,$C30,'Bulk Pricing'!$D:$D,G$12,'Bulk Pricing'!$E:$E,"&lt;&gt;")=0,"",SUMIFS('Bulk Pricing'!$E:$E,'Bulk Pricing'!$B:$B,$B30,'Bulk Pricing'!$C:$C,$C30,'Bulk Pricing'!$D:$D,G$12))</f>
        <v>15</v>
      </c>
      <c r="H30" s="14"/>
      <c r="I30" s="15" t="n">
        <f aca="false">IF(COUNTIFS('Bulk Pricing'!$B:$B,$B30,'Bulk Pricing'!$C:$C,$C30,'Bulk Pricing'!$D:$D,I$12,'Bulk Pricing'!$E:$E,"&lt;&gt;")=0,"",SUMIFS('Bulk Pricing'!$E:$E,'Bulk Pricing'!$B:$B,$B30,'Bulk Pricing'!$C:$C,$C30,'Bulk Pricing'!$D:$D,I$12))</f>
        <v>15</v>
      </c>
      <c r="J30" s="16" t="n">
        <f aca="false">N(D30)*N(E30)+N(F30)*N(G30)+N(H30)*N(I30)</f>
        <v>0</v>
      </c>
      <c r="K30" s="13" t="str">
        <f aca="false">IF(OR(AND(N(D30)&gt;0,E30=""),AND(N(F30)&gt;0,G30=""),AND(N(H30)&gt;0,I30="")),"NO PRICE - qty entered but no price on list","")</f>
        <v/>
      </c>
    </row>
    <row r="31" customFormat="false" ht="15" hidden="false" customHeight="false" outlineLevel="0" collapsed="false">
      <c r="A31" s="12" t="s">
        <v>27</v>
      </c>
      <c r="B31" s="13" t="s">
        <v>31</v>
      </c>
      <c r="C31" s="12" t="n">
        <v>8</v>
      </c>
      <c r="D31" s="14"/>
      <c r="E31" s="15" t="n">
        <f aca="false">IF(COUNTIFS('Bulk Pricing'!$B:$B,$B31,'Bulk Pricing'!$C:$C,$C31,'Bulk Pricing'!$D:$D,E$12,'Bulk Pricing'!$E:$E,"&lt;&gt;")=0,"",SUMIFS('Bulk Pricing'!$E:$E,'Bulk Pricing'!$B:$B,$B31,'Bulk Pricing'!$C:$C,$C31,'Bulk Pricing'!$D:$D,E$12))</f>
        <v>27.5</v>
      </c>
      <c r="F31" s="14"/>
      <c r="G31" s="15" t="n">
        <f aca="false">IF(COUNTIFS('Bulk Pricing'!$B:$B,$B31,'Bulk Pricing'!$C:$C,$C31,'Bulk Pricing'!$D:$D,G$12,'Bulk Pricing'!$E:$E,"&lt;&gt;")=0,"",SUMIFS('Bulk Pricing'!$E:$E,'Bulk Pricing'!$B:$B,$B31,'Bulk Pricing'!$C:$C,$C31,'Bulk Pricing'!$D:$D,G$12))</f>
        <v>27.5</v>
      </c>
      <c r="H31" s="14"/>
      <c r="I31" s="15" t="n">
        <f aca="false">IF(COUNTIFS('Bulk Pricing'!$B:$B,$B31,'Bulk Pricing'!$C:$C,$C31,'Bulk Pricing'!$D:$D,I$12,'Bulk Pricing'!$E:$E,"&lt;&gt;")=0,"",SUMIFS('Bulk Pricing'!$E:$E,'Bulk Pricing'!$B:$B,$B31,'Bulk Pricing'!$C:$C,$C31,'Bulk Pricing'!$D:$D,I$12))</f>
        <v>27.5</v>
      </c>
      <c r="J31" s="16" t="n">
        <f aca="false">N(D31)*N(E31)+N(F31)*N(G31)+N(H31)*N(I31)</f>
        <v>0</v>
      </c>
      <c r="K31" s="13" t="str">
        <f aca="false">IF(OR(AND(N(D31)&gt;0,E31=""),AND(N(F31)&gt;0,G31=""),AND(N(H31)&gt;0,I31="")),"NO PRICE - qty entered but no price on list","")</f>
        <v/>
      </c>
    </row>
    <row r="32" customFormat="false" ht="15" hidden="false" customHeight="false" outlineLevel="0" collapsed="false">
      <c r="A32" s="12" t="s">
        <v>27</v>
      </c>
      <c r="B32" s="13" t="s">
        <v>31</v>
      </c>
      <c r="C32" s="12" t="n">
        <v>16</v>
      </c>
      <c r="D32" s="14"/>
      <c r="E32" s="15" t="n">
        <f aca="false">IF(COUNTIFS('Bulk Pricing'!$B:$B,$B32,'Bulk Pricing'!$C:$C,$C32,'Bulk Pricing'!$D:$D,E$12,'Bulk Pricing'!$E:$E,"&lt;&gt;")=0,"",SUMIFS('Bulk Pricing'!$E:$E,'Bulk Pricing'!$B:$B,$B32,'Bulk Pricing'!$C:$C,$C32,'Bulk Pricing'!$D:$D,E$12))</f>
        <v>57.5</v>
      </c>
      <c r="F32" s="14"/>
      <c r="G32" s="15" t="n">
        <f aca="false">IF(COUNTIFS('Bulk Pricing'!$B:$B,$B32,'Bulk Pricing'!$C:$C,$C32,'Bulk Pricing'!$D:$D,G$12,'Bulk Pricing'!$E:$E,"&lt;&gt;")=0,"",SUMIFS('Bulk Pricing'!$E:$E,'Bulk Pricing'!$B:$B,$B32,'Bulk Pricing'!$C:$C,$C32,'Bulk Pricing'!$D:$D,G$12))</f>
        <v>57.5</v>
      </c>
      <c r="H32" s="14"/>
      <c r="I32" s="15" t="n">
        <f aca="false">IF(COUNTIFS('Bulk Pricing'!$B:$B,$B32,'Bulk Pricing'!$C:$C,$C32,'Bulk Pricing'!$D:$D,I$12,'Bulk Pricing'!$E:$E,"&lt;&gt;")=0,"",SUMIFS('Bulk Pricing'!$E:$E,'Bulk Pricing'!$B:$B,$B32,'Bulk Pricing'!$C:$C,$C32,'Bulk Pricing'!$D:$D,I$12))</f>
        <v>57.5</v>
      </c>
      <c r="J32" s="16" t="n">
        <f aca="false">N(D32)*N(E32)+N(F32)*N(G32)+N(H32)*N(I32)</f>
        <v>0</v>
      </c>
      <c r="K32" s="13" t="str">
        <f aca="false">IF(OR(AND(N(D32)&gt;0,E32=""),AND(N(F32)&gt;0,G32=""),AND(N(H32)&gt;0,I32="")),"NO PRICE - qty entered but no price on list","")</f>
        <v/>
      </c>
    </row>
    <row r="33" customFormat="false" ht="15" hidden="false" customHeight="false" outlineLevel="0" collapsed="false">
      <c r="A33" s="12" t="s">
        <v>27</v>
      </c>
      <c r="B33" s="13" t="s">
        <v>31</v>
      </c>
      <c r="C33" s="12" t="n">
        <v>32</v>
      </c>
      <c r="D33" s="14"/>
      <c r="E33" s="15" t="n">
        <f aca="false">IF(COUNTIFS('Bulk Pricing'!$B:$B,$B33,'Bulk Pricing'!$C:$C,$C33,'Bulk Pricing'!$D:$D,E$12,'Bulk Pricing'!$E:$E,"&lt;&gt;")=0,"",SUMIFS('Bulk Pricing'!$E:$E,'Bulk Pricing'!$B:$B,$B33,'Bulk Pricing'!$C:$C,$C33,'Bulk Pricing'!$D:$D,E$12))</f>
        <v>117.5</v>
      </c>
      <c r="F33" s="14"/>
      <c r="G33" s="15" t="n">
        <f aca="false">IF(COUNTIFS('Bulk Pricing'!$B:$B,$B33,'Bulk Pricing'!$C:$C,$C33,'Bulk Pricing'!$D:$D,G$12,'Bulk Pricing'!$E:$E,"&lt;&gt;")=0,"",SUMIFS('Bulk Pricing'!$E:$E,'Bulk Pricing'!$B:$B,$B33,'Bulk Pricing'!$C:$C,$C33,'Bulk Pricing'!$D:$D,G$12))</f>
        <v>117.5</v>
      </c>
      <c r="H33" s="14"/>
      <c r="I33" s="15" t="n">
        <f aca="false">IF(COUNTIFS('Bulk Pricing'!$B:$B,$B33,'Bulk Pricing'!$C:$C,$C33,'Bulk Pricing'!$D:$D,I$12,'Bulk Pricing'!$E:$E,"&lt;&gt;")=0,"",SUMIFS('Bulk Pricing'!$E:$E,'Bulk Pricing'!$B:$B,$B33,'Bulk Pricing'!$C:$C,$C33,'Bulk Pricing'!$D:$D,I$12))</f>
        <v>117.5</v>
      </c>
      <c r="J33" s="16" t="n">
        <f aca="false">N(D33)*N(E33)+N(F33)*N(G33)+N(H33)*N(I33)</f>
        <v>0</v>
      </c>
      <c r="K33" s="13" t="str">
        <f aca="false">IF(OR(AND(N(D33)&gt;0,E33=""),AND(N(F33)&gt;0,G33=""),AND(N(H33)&gt;0,I33="")),"NO PRICE - qty entered but no price on list","")</f>
        <v/>
      </c>
    </row>
    <row r="35" customFormat="false" ht="15" hidden="false" customHeight="false" outlineLevel="0" collapsed="false">
      <c r="A35" s="3" t="s">
        <v>32</v>
      </c>
      <c r="B35" s="3" t="s">
        <v>33</v>
      </c>
      <c r="D35" s="3" t="s">
        <v>34</v>
      </c>
      <c r="E35" s="3" t="s">
        <v>35</v>
      </c>
    </row>
    <row r="36" customFormat="false" ht="15" hidden="false" customHeight="false" outlineLevel="0" collapsed="false">
      <c r="A36" s="17"/>
      <c r="B36" s="18"/>
      <c r="C36" s="17"/>
      <c r="D36" s="18"/>
      <c r="E36" s="19"/>
      <c r="F36" s="17"/>
      <c r="G36" s="17"/>
      <c r="H36" s="17"/>
      <c r="I36" s="17"/>
      <c r="J36" s="20" t="n">
        <f aca="false">N(D36)*N(E36)</f>
        <v>0</v>
      </c>
      <c r="K36" s="17" t="str">
        <f aca="false">IF(AND(N(D36)&gt;0,E36=""),"NO PRICE - enter price each in column E","")</f>
        <v/>
      </c>
    </row>
    <row r="37" customFormat="false" ht="15" hidden="false" customHeight="false" outlineLevel="0" collapsed="false">
      <c r="A37" s="17"/>
      <c r="B37" s="18"/>
      <c r="C37" s="17"/>
      <c r="D37" s="18"/>
      <c r="E37" s="19"/>
      <c r="F37" s="17"/>
      <c r="G37" s="17"/>
      <c r="H37" s="17"/>
      <c r="I37" s="17"/>
      <c r="J37" s="20" t="n">
        <f aca="false">N(D37)*N(E37)</f>
        <v>0</v>
      </c>
      <c r="K37" s="17" t="str">
        <f aca="false">IF(AND(N(D37)&gt;0,E37=""),"NO PRICE - enter price each in column E","")</f>
        <v/>
      </c>
    </row>
    <row r="38" customFormat="false" ht="15" hidden="false" customHeight="false" outlineLevel="0" collapsed="false">
      <c r="A38" s="17"/>
      <c r="B38" s="18"/>
      <c r="C38" s="17"/>
      <c r="D38" s="18"/>
      <c r="E38" s="19"/>
      <c r="F38" s="17"/>
      <c r="G38" s="17"/>
      <c r="H38" s="17"/>
      <c r="I38" s="17"/>
      <c r="J38" s="20" t="n">
        <f aca="false">N(D38)*N(E38)</f>
        <v>0</v>
      </c>
      <c r="K38" s="17" t="str">
        <f aca="false">IF(AND(N(D38)&gt;0,E38=""),"NO PRICE - enter price each in column E","")</f>
        <v/>
      </c>
    </row>
    <row r="39" customFormat="false" ht="15" hidden="false" customHeight="false" outlineLevel="0" collapsed="false">
      <c r="A39" s="17"/>
      <c r="B39" s="18"/>
      <c r="C39" s="17"/>
      <c r="D39" s="18"/>
      <c r="E39" s="19"/>
      <c r="F39" s="17"/>
      <c r="G39" s="17"/>
      <c r="H39" s="17"/>
      <c r="I39" s="17"/>
      <c r="J39" s="20" t="n">
        <f aca="false">N(D39)*N(E39)</f>
        <v>0</v>
      </c>
      <c r="K39" s="17" t="str">
        <f aca="false">IF(AND(N(D39)&gt;0,E39=""),"NO PRICE - enter price each in column E","")</f>
        <v/>
      </c>
    </row>
    <row r="40" customFormat="false" ht="15" hidden="false" customHeight="false" outlineLevel="0" collapsed="false">
      <c r="A40" s="17"/>
      <c r="B40" s="18"/>
      <c r="C40" s="17"/>
      <c r="D40" s="18"/>
      <c r="E40" s="19"/>
      <c r="F40" s="17"/>
      <c r="G40" s="17"/>
      <c r="H40" s="17"/>
      <c r="I40" s="17"/>
      <c r="J40" s="20" t="n">
        <f aca="false">N(D40)*N(E40)</f>
        <v>0</v>
      </c>
      <c r="K40" s="17" t="str">
        <f aca="false">IF(AND(N(D40)&gt;0,E40=""),"NO PRICE - enter price each in column E","")</f>
        <v/>
      </c>
    </row>
    <row r="41" customFormat="false" ht="15" hidden="false" customHeight="false" outlineLevel="0" collapsed="false">
      <c r="A41" s="17"/>
      <c r="B41" s="18"/>
      <c r="C41" s="17"/>
      <c r="D41" s="18"/>
      <c r="E41" s="19"/>
      <c r="F41" s="17"/>
      <c r="G41" s="17"/>
      <c r="H41" s="17"/>
      <c r="I41" s="17"/>
      <c r="J41" s="20" t="n">
        <f aca="false">N(D41)*N(E41)</f>
        <v>0</v>
      </c>
      <c r="K41" s="17" t="str">
        <f aca="false">IF(AND(N(D41)&gt;0,E41=""),"NO PRICE - enter price each in column E","")</f>
        <v/>
      </c>
    </row>
  </sheetData>
  <mergeCells count="1">
    <mergeCell ref="D5:K6"/>
  </mergeCells>
  <conditionalFormatting sqref="D5:K6">
    <cfRule type="expression" priority="2" aboveAverage="0" equalAverage="0" bottom="0" percent="0" rank="0" text="" dxfId="0">
      <formula>OR(LEFT($D$5,4)="STOP",LEFT($D$5,3)="TOO")</formula>
    </cfRule>
    <cfRule type="expression" priority="3" aboveAverage="0" equalAverage="0" bottom="0" percent="0" rank="0" text="" dxfId="1">
      <formula>LEFT($D$5,2)="OK"</formula>
    </cfRule>
  </conditionalFormatting>
  <conditionalFormatting sqref="K14:K41">
    <cfRule type="expression" priority="4" aboveAverage="0" equalAverage="0" bottom="0" percent="0" rank="0" text="" dxfId="0">
      <formula>LEFT(K14,2)="NO"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1" width="11"/>
    <col collapsed="false" customWidth="true" hidden="false" outlineLevel="0" max="2" min="2" style="21" width="22"/>
    <col collapsed="false" customWidth="true" hidden="false" outlineLevel="0" max="3" min="3" style="21" width="10"/>
    <col collapsed="false" customWidth="true" hidden="false" outlineLevel="0" max="4" min="4" style="21" width="28"/>
    <col collapsed="false" customWidth="true" hidden="false" outlineLevel="0" max="5" min="5" style="21" width="12"/>
    <col collapsed="false" customWidth="true" hidden="false" outlineLevel="0" max="6" min="6" style="21" width="11"/>
    <col collapsed="false" customWidth="true" hidden="false" outlineLevel="0" max="7" min="7" style="21" width="7"/>
    <col collapsed="false" customWidth="true" hidden="false" outlineLevel="0" max="8" min="8" style="21" width="12"/>
    <col collapsed="false" customWidth="true" hidden="false" outlineLevel="0" max="9" min="9" style="21" width="40"/>
  </cols>
  <sheetData>
    <row r="1" customFormat="false" ht="17.25" hidden="false" customHeight="true" outlineLevel="0" collapsed="false">
      <c r="A1" s="22" t="s">
        <v>36</v>
      </c>
    </row>
    <row r="2" customFormat="false" ht="15" hidden="false" customHeight="true" outlineLevel="0" collapsed="false">
      <c r="A2" s="23" t="s">
        <v>37</v>
      </c>
      <c r="B2" s="24" t="n">
        <v>46321</v>
      </c>
      <c r="D2" s="25" t="s">
        <v>38</v>
      </c>
      <c r="E2" s="26" t="n">
        <f aca="false">SUM(H5:H1000)</f>
        <v>0</v>
      </c>
      <c r="F2" s="25" t="s">
        <v>39</v>
      </c>
      <c r="G2" s="23" t="n">
        <f aca="false">SUM(G5:G1000)</f>
        <v>0</v>
      </c>
    </row>
    <row r="4" customFormat="false" ht="30" hidden="false" customHeight="true" outlineLevel="0" collapsed="false">
      <c r="A4" s="11" t="s">
        <v>40</v>
      </c>
      <c r="B4" s="11" t="s">
        <v>14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34</v>
      </c>
      <c r="H4" s="11" t="s">
        <v>45</v>
      </c>
      <c r="I4" s="11" t="s">
        <v>46</v>
      </c>
    </row>
    <row r="5" customFormat="false" ht="15" hidden="false" customHeight="true" outlineLevel="0" collapsed="false">
      <c r="A5" s="12" t="s">
        <v>24</v>
      </c>
      <c r="B5" s="27" t="s">
        <v>25</v>
      </c>
      <c r="C5" s="28" t="n">
        <v>4</v>
      </c>
      <c r="D5" s="27" t="s">
        <v>10</v>
      </c>
      <c r="E5" s="29" t="n">
        <v>7</v>
      </c>
      <c r="F5" s="30" t="n">
        <f aca="false">IF(E5="","",E5/C5)</f>
        <v>1.75</v>
      </c>
      <c r="G5" s="31"/>
      <c r="H5" s="30" t="str">
        <f aca="false">IF(OR(E5="",G5=""),"",E5*G5)</f>
        <v/>
      </c>
      <c r="I5" s="31"/>
    </row>
    <row r="6" customFormat="false" ht="15" hidden="false" customHeight="true" outlineLevel="0" collapsed="false">
      <c r="A6" s="12" t="s">
        <v>24</v>
      </c>
      <c r="B6" s="27" t="s">
        <v>25</v>
      </c>
      <c r="C6" s="28" t="n">
        <v>4</v>
      </c>
      <c r="D6" s="27" t="s">
        <v>11</v>
      </c>
      <c r="E6" s="29" t="n">
        <v>7</v>
      </c>
      <c r="F6" s="30" t="n">
        <f aca="false">IF(E6="","",E6/C6)</f>
        <v>1.75</v>
      </c>
      <c r="G6" s="31"/>
      <c r="H6" s="30" t="str">
        <f aca="false">IF(OR(E6="",G6=""),"",E6*G6)</f>
        <v/>
      </c>
      <c r="I6" s="31"/>
    </row>
    <row r="7" customFormat="false" ht="15" hidden="false" customHeight="true" outlineLevel="0" collapsed="false">
      <c r="A7" s="12" t="s">
        <v>24</v>
      </c>
      <c r="B7" s="27" t="s">
        <v>25</v>
      </c>
      <c r="C7" s="28" t="n">
        <v>4</v>
      </c>
      <c r="D7" s="27" t="s">
        <v>12</v>
      </c>
      <c r="E7" s="29" t="n">
        <v>7</v>
      </c>
      <c r="F7" s="30" t="n">
        <f aca="false">IF(E7="","",E7/C7)</f>
        <v>1.75</v>
      </c>
      <c r="G7" s="31"/>
      <c r="H7" s="30" t="str">
        <f aca="false">IF(OR(E7="",G7=""),"",E7*G7)</f>
        <v/>
      </c>
      <c r="I7" s="31"/>
    </row>
    <row r="8" customFormat="false" ht="15" hidden="false" customHeight="true" outlineLevel="0" collapsed="false">
      <c r="A8" s="12" t="s">
        <v>24</v>
      </c>
      <c r="B8" s="27" t="s">
        <v>25</v>
      </c>
      <c r="C8" s="28" t="n">
        <v>8</v>
      </c>
      <c r="D8" s="27" t="s">
        <v>10</v>
      </c>
      <c r="E8" s="29" t="n">
        <v>11</v>
      </c>
      <c r="F8" s="30" t="n">
        <f aca="false">IF(E8="","",E8/C8)</f>
        <v>1.375</v>
      </c>
      <c r="G8" s="31"/>
      <c r="H8" s="30" t="str">
        <f aca="false">IF(OR(E8="",G8=""),"",E8*G8)</f>
        <v/>
      </c>
      <c r="I8" s="31"/>
    </row>
    <row r="9" customFormat="false" ht="15" hidden="false" customHeight="true" outlineLevel="0" collapsed="false">
      <c r="A9" s="12" t="s">
        <v>24</v>
      </c>
      <c r="B9" s="27" t="s">
        <v>25</v>
      </c>
      <c r="C9" s="28" t="n">
        <v>8</v>
      </c>
      <c r="D9" s="27" t="s">
        <v>11</v>
      </c>
      <c r="E9" s="29" t="n">
        <v>11</v>
      </c>
      <c r="F9" s="30" t="n">
        <f aca="false">IF(E9="","",E9/C9)</f>
        <v>1.375</v>
      </c>
      <c r="G9" s="31"/>
      <c r="H9" s="30" t="str">
        <f aca="false">IF(OR(E9="",G9=""),"",E9*G9)</f>
        <v/>
      </c>
      <c r="I9" s="31"/>
    </row>
    <row r="10" customFormat="false" ht="15" hidden="false" customHeight="true" outlineLevel="0" collapsed="false">
      <c r="A10" s="12" t="s">
        <v>24</v>
      </c>
      <c r="B10" s="27" t="s">
        <v>25</v>
      </c>
      <c r="C10" s="28" t="n">
        <v>8</v>
      </c>
      <c r="D10" s="27" t="s">
        <v>12</v>
      </c>
      <c r="E10" s="29" t="n">
        <v>11</v>
      </c>
      <c r="F10" s="30" t="n">
        <f aca="false">IF(E10="","",E10/C10)</f>
        <v>1.375</v>
      </c>
      <c r="G10" s="31"/>
      <c r="H10" s="30" t="str">
        <f aca="false">IF(OR(E10="",G10=""),"",E10*G10)</f>
        <v/>
      </c>
      <c r="I10" s="31"/>
    </row>
    <row r="11" customFormat="false" ht="15" hidden="false" customHeight="true" outlineLevel="0" collapsed="false">
      <c r="A11" s="32" t="s">
        <v>24</v>
      </c>
      <c r="B11" s="33" t="s">
        <v>26</v>
      </c>
      <c r="C11" s="34" t="n">
        <v>4</v>
      </c>
      <c r="D11" s="33" t="s">
        <v>10</v>
      </c>
      <c r="E11" s="29" t="n">
        <v>7</v>
      </c>
      <c r="F11" s="35" t="n">
        <f aca="false">IF(E11="","",E11/C11)</f>
        <v>1.75</v>
      </c>
      <c r="G11" s="31"/>
      <c r="H11" s="35" t="str">
        <f aca="false">IF(OR(E11="",G11=""),"",E11*G11)</f>
        <v/>
      </c>
      <c r="I11" s="31"/>
    </row>
    <row r="12" customFormat="false" ht="15" hidden="false" customHeight="true" outlineLevel="0" collapsed="false">
      <c r="A12" s="32" t="s">
        <v>24</v>
      </c>
      <c r="B12" s="33" t="s">
        <v>26</v>
      </c>
      <c r="C12" s="34" t="n">
        <v>4</v>
      </c>
      <c r="D12" s="33" t="s">
        <v>11</v>
      </c>
      <c r="E12" s="29" t="n">
        <v>7</v>
      </c>
      <c r="F12" s="35" t="n">
        <f aca="false">IF(E12="","",E12/C12)</f>
        <v>1.75</v>
      </c>
      <c r="G12" s="31"/>
      <c r="H12" s="35" t="str">
        <f aca="false">IF(OR(E12="",G12=""),"",E12*G12)</f>
        <v/>
      </c>
      <c r="I12" s="31"/>
    </row>
    <row r="13" customFormat="false" ht="15" hidden="false" customHeight="true" outlineLevel="0" collapsed="false">
      <c r="A13" s="32" t="s">
        <v>24</v>
      </c>
      <c r="B13" s="33" t="s">
        <v>26</v>
      </c>
      <c r="C13" s="34" t="n">
        <v>4</v>
      </c>
      <c r="D13" s="33" t="s">
        <v>12</v>
      </c>
      <c r="E13" s="29" t="n">
        <v>7</v>
      </c>
      <c r="F13" s="35" t="n">
        <f aca="false">IF(E13="","",E13/C13)</f>
        <v>1.75</v>
      </c>
      <c r="G13" s="31"/>
      <c r="H13" s="35" t="str">
        <f aca="false">IF(OR(E13="",G13=""),"",E13*G13)</f>
        <v/>
      </c>
      <c r="I13" s="31"/>
    </row>
    <row r="14" customFormat="false" ht="15" hidden="false" customHeight="true" outlineLevel="0" collapsed="false">
      <c r="A14" s="32" t="s">
        <v>24</v>
      </c>
      <c r="B14" s="33" t="s">
        <v>26</v>
      </c>
      <c r="C14" s="34" t="n">
        <v>8</v>
      </c>
      <c r="D14" s="33" t="s">
        <v>10</v>
      </c>
      <c r="E14" s="29" t="n">
        <v>11</v>
      </c>
      <c r="F14" s="35" t="n">
        <f aca="false">IF(E14="","",E14/C14)</f>
        <v>1.375</v>
      </c>
      <c r="G14" s="31"/>
      <c r="H14" s="35" t="str">
        <f aca="false">IF(OR(E14="",G14=""),"",E14*G14)</f>
        <v/>
      </c>
      <c r="I14" s="31"/>
    </row>
    <row r="15" customFormat="false" ht="15" hidden="false" customHeight="true" outlineLevel="0" collapsed="false">
      <c r="A15" s="32" t="s">
        <v>24</v>
      </c>
      <c r="B15" s="33" t="s">
        <v>26</v>
      </c>
      <c r="C15" s="34" t="n">
        <v>8</v>
      </c>
      <c r="D15" s="33" t="s">
        <v>11</v>
      </c>
      <c r="E15" s="29" t="n">
        <v>11</v>
      </c>
      <c r="F15" s="35" t="n">
        <f aca="false">IF(E15="","",E15/C15)</f>
        <v>1.375</v>
      </c>
      <c r="G15" s="31"/>
      <c r="H15" s="35" t="str">
        <f aca="false">IF(OR(E15="",G15=""),"",E15*G15)</f>
        <v/>
      </c>
      <c r="I15" s="31"/>
    </row>
    <row r="16" customFormat="false" ht="15" hidden="false" customHeight="true" outlineLevel="0" collapsed="false">
      <c r="A16" s="32" t="s">
        <v>24</v>
      </c>
      <c r="B16" s="33" t="s">
        <v>26</v>
      </c>
      <c r="C16" s="34" t="n">
        <v>8</v>
      </c>
      <c r="D16" s="33" t="s">
        <v>12</v>
      </c>
      <c r="E16" s="29" t="n">
        <v>11</v>
      </c>
      <c r="F16" s="35" t="n">
        <f aca="false">IF(E16="","",E16/C16)</f>
        <v>1.375</v>
      </c>
      <c r="G16" s="31"/>
      <c r="H16" s="35" t="str">
        <f aca="false">IF(OR(E16="",G16=""),"",E16*G16)</f>
        <v/>
      </c>
      <c r="I16" s="31"/>
    </row>
    <row r="17" customFormat="false" ht="15" hidden="false" customHeight="true" outlineLevel="0" collapsed="false">
      <c r="A17" s="12" t="s">
        <v>27</v>
      </c>
      <c r="B17" s="27" t="s">
        <v>28</v>
      </c>
      <c r="C17" s="28" t="n">
        <v>4</v>
      </c>
      <c r="D17" s="27" t="s">
        <v>10</v>
      </c>
      <c r="E17" s="29" t="n">
        <v>12</v>
      </c>
      <c r="F17" s="30" t="n">
        <f aca="false">IF(E17="","",E17/C17)</f>
        <v>3</v>
      </c>
      <c r="G17" s="31"/>
      <c r="H17" s="30" t="str">
        <f aca="false">IF(OR(E17="",G17=""),"",E17*G17)</f>
        <v/>
      </c>
      <c r="I17" s="31"/>
    </row>
    <row r="18" customFormat="false" ht="15" hidden="false" customHeight="true" outlineLevel="0" collapsed="false">
      <c r="A18" s="12" t="s">
        <v>27</v>
      </c>
      <c r="B18" s="27" t="s">
        <v>28</v>
      </c>
      <c r="C18" s="28" t="n">
        <v>4</v>
      </c>
      <c r="D18" s="27" t="s">
        <v>11</v>
      </c>
      <c r="E18" s="29" t="n">
        <v>12</v>
      </c>
      <c r="F18" s="30" t="n">
        <f aca="false">IF(E18="","",E18/C18)</f>
        <v>3</v>
      </c>
      <c r="G18" s="31"/>
      <c r="H18" s="30" t="str">
        <f aca="false">IF(OR(E18="",G18=""),"",E18*G18)</f>
        <v/>
      </c>
      <c r="I18" s="31"/>
    </row>
    <row r="19" customFormat="false" ht="15" hidden="false" customHeight="true" outlineLevel="0" collapsed="false">
      <c r="A19" s="12" t="s">
        <v>27</v>
      </c>
      <c r="B19" s="27" t="s">
        <v>28</v>
      </c>
      <c r="C19" s="28" t="n">
        <v>4</v>
      </c>
      <c r="D19" s="27" t="s">
        <v>12</v>
      </c>
      <c r="E19" s="29" t="n">
        <v>12</v>
      </c>
      <c r="F19" s="30" t="n">
        <f aca="false">IF(E19="","",E19/C19)</f>
        <v>3</v>
      </c>
      <c r="G19" s="31"/>
      <c r="H19" s="30" t="str">
        <f aca="false">IF(OR(E19="",G19=""),"",E19*G19)</f>
        <v/>
      </c>
      <c r="I19" s="31"/>
    </row>
    <row r="20" customFormat="false" ht="15" hidden="false" customHeight="true" outlineLevel="0" collapsed="false">
      <c r="A20" s="12" t="s">
        <v>27</v>
      </c>
      <c r="B20" s="27" t="s">
        <v>28</v>
      </c>
      <c r="C20" s="28" t="n">
        <v>8</v>
      </c>
      <c r="D20" s="27" t="s">
        <v>10</v>
      </c>
      <c r="E20" s="29" t="n">
        <v>24</v>
      </c>
      <c r="F20" s="30" t="n">
        <f aca="false">IF(E20="","",E20/C20)</f>
        <v>3</v>
      </c>
      <c r="G20" s="31"/>
      <c r="H20" s="30" t="str">
        <f aca="false">IF(OR(E20="",G20=""),"",E20*G20)</f>
        <v/>
      </c>
      <c r="I20" s="31"/>
    </row>
    <row r="21" customFormat="false" ht="15" hidden="false" customHeight="true" outlineLevel="0" collapsed="false">
      <c r="A21" s="12" t="s">
        <v>27</v>
      </c>
      <c r="B21" s="27" t="s">
        <v>28</v>
      </c>
      <c r="C21" s="28" t="n">
        <v>8</v>
      </c>
      <c r="D21" s="27" t="s">
        <v>11</v>
      </c>
      <c r="E21" s="29" t="n">
        <v>24</v>
      </c>
      <c r="F21" s="30" t="n">
        <f aca="false">IF(E21="","",E21/C21)</f>
        <v>3</v>
      </c>
      <c r="G21" s="31"/>
      <c r="H21" s="30" t="str">
        <f aca="false">IF(OR(E21="",G21=""),"",E21*G21)</f>
        <v/>
      </c>
      <c r="I21" s="31"/>
    </row>
    <row r="22" customFormat="false" ht="15" hidden="false" customHeight="true" outlineLevel="0" collapsed="false">
      <c r="A22" s="12" t="s">
        <v>27</v>
      </c>
      <c r="B22" s="27" t="s">
        <v>28</v>
      </c>
      <c r="C22" s="28" t="n">
        <v>8</v>
      </c>
      <c r="D22" s="27" t="s">
        <v>12</v>
      </c>
      <c r="E22" s="29" t="n">
        <v>25</v>
      </c>
      <c r="F22" s="30" t="n">
        <f aca="false">IF(E22="","",E22/C22)</f>
        <v>3.125</v>
      </c>
      <c r="G22" s="31"/>
      <c r="H22" s="30" t="str">
        <f aca="false">IF(OR(E22="",G22=""),"",E22*G22)</f>
        <v/>
      </c>
      <c r="I22" s="31"/>
    </row>
    <row r="23" customFormat="false" ht="15" hidden="false" customHeight="true" outlineLevel="0" collapsed="false">
      <c r="A23" s="12" t="s">
        <v>27</v>
      </c>
      <c r="B23" s="27" t="s">
        <v>28</v>
      </c>
      <c r="C23" s="28" t="n">
        <v>16</v>
      </c>
      <c r="D23" s="27" t="s">
        <v>10</v>
      </c>
      <c r="E23" s="29" t="n">
        <v>50.5</v>
      </c>
      <c r="F23" s="30" t="n">
        <f aca="false">IF(E23="","",E23/C23)</f>
        <v>3.15625</v>
      </c>
      <c r="G23" s="31"/>
      <c r="H23" s="30" t="str">
        <f aca="false">IF(OR(E23="",G23=""),"",E23*G23)</f>
        <v/>
      </c>
      <c r="I23" s="31" t="s">
        <v>47</v>
      </c>
    </row>
    <row r="24" customFormat="false" ht="15" hidden="false" customHeight="true" outlineLevel="0" collapsed="false">
      <c r="A24" s="12" t="s">
        <v>27</v>
      </c>
      <c r="B24" s="27" t="s">
        <v>28</v>
      </c>
      <c r="C24" s="28" t="n">
        <v>16</v>
      </c>
      <c r="D24" s="27" t="s">
        <v>11</v>
      </c>
      <c r="E24" s="29" t="n">
        <v>50.5</v>
      </c>
      <c r="F24" s="30" t="n">
        <f aca="false">IF(E24="","",E24/C24)</f>
        <v>3.15625</v>
      </c>
      <c r="G24" s="31"/>
      <c r="H24" s="30" t="str">
        <f aca="false">IF(OR(E24="",G24=""),"",E24*G24)</f>
        <v/>
      </c>
      <c r="I24" s="31" t="s">
        <v>47</v>
      </c>
    </row>
    <row r="25" customFormat="false" ht="15" hidden="false" customHeight="true" outlineLevel="0" collapsed="false">
      <c r="A25" s="12" t="s">
        <v>27</v>
      </c>
      <c r="B25" s="27" t="s">
        <v>28</v>
      </c>
      <c r="C25" s="28" t="n">
        <v>16</v>
      </c>
      <c r="D25" s="27" t="s">
        <v>12</v>
      </c>
      <c r="E25" s="29" t="n">
        <v>42.5</v>
      </c>
      <c r="F25" s="30" t="n">
        <f aca="false">IF(E25="","",E25/C25)</f>
        <v>2.65625</v>
      </c>
      <c r="G25" s="31"/>
      <c r="H25" s="30" t="str">
        <f aca="false">IF(OR(E25="",G25=""),"",E25*G25)</f>
        <v/>
      </c>
      <c r="I25" s="31" t="s">
        <v>47</v>
      </c>
    </row>
    <row r="26" customFormat="false" ht="15" hidden="false" customHeight="true" outlineLevel="0" collapsed="false">
      <c r="A26" s="12" t="s">
        <v>27</v>
      </c>
      <c r="B26" s="27" t="s">
        <v>28</v>
      </c>
      <c r="C26" s="28" t="n">
        <v>32</v>
      </c>
      <c r="D26" s="27" t="s">
        <v>10</v>
      </c>
      <c r="E26" s="29" t="n">
        <v>103.5</v>
      </c>
      <c r="F26" s="30" t="n">
        <f aca="false">IF(E26="","",E26/C26)</f>
        <v>3.234375</v>
      </c>
      <c r="G26" s="31"/>
      <c r="H26" s="30" t="str">
        <f aca="false">IF(OR(E26="",G26=""),"",E26*G26)</f>
        <v/>
      </c>
      <c r="I26" s="31" t="s">
        <v>48</v>
      </c>
    </row>
    <row r="27" customFormat="false" ht="15" hidden="false" customHeight="true" outlineLevel="0" collapsed="false">
      <c r="A27" s="12" t="s">
        <v>27</v>
      </c>
      <c r="B27" s="27" t="s">
        <v>28</v>
      </c>
      <c r="C27" s="28" t="n">
        <v>32</v>
      </c>
      <c r="D27" s="27" t="s">
        <v>11</v>
      </c>
      <c r="E27" s="29" t="n">
        <v>103.5</v>
      </c>
      <c r="F27" s="30" t="n">
        <f aca="false">IF(E27="","",E27/C27)</f>
        <v>3.234375</v>
      </c>
      <c r="G27" s="31"/>
      <c r="H27" s="30" t="str">
        <f aca="false">IF(OR(E27="",G27=""),"",E27*G27)</f>
        <v/>
      </c>
      <c r="I27" s="31" t="s">
        <v>48</v>
      </c>
    </row>
    <row r="28" customFormat="false" ht="15" hidden="false" customHeight="true" outlineLevel="0" collapsed="false">
      <c r="A28" s="12" t="s">
        <v>27</v>
      </c>
      <c r="B28" s="27" t="s">
        <v>28</v>
      </c>
      <c r="C28" s="28" t="n">
        <v>32</v>
      </c>
      <c r="D28" s="27" t="s">
        <v>12</v>
      </c>
      <c r="E28" s="29" t="n">
        <v>87.5</v>
      </c>
      <c r="F28" s="30" t="n">
        <f aca="false">IF(E28="","",E28/C28)</f>
        <v>2.734375</v>
      </c>
      <c r="G28" s="31"/>
      <c r="H28" s="30" t="str">
        <f aca="false">IF(OR(E28="",G28=""),"",E28*G28)</f>
        <v/>
      </c>
      <c r="I28" s="31" t="s">
        <v>48</v>
      </c>
    </row>
    <row r="29" customFormat="false" ht="15" hidden="false" customHeight="true" outlineLevel="0" collapsed="false">
      <c r="A29" s="32" t="s">
        <v>27</v>
      </c>
      <c r="B29" s="33" t="s">
        <v>29</v>
      </c>
      <c r="C29" s="34" t="n">
        <v>4</v>
      </c>
      <c r="D29" s="33" t="s">
        <v>10</v>
      </c>
      <c r="E29" s="29" t="n">
        <v>12</v>
      </c>
      <c r="F29" s="35" t="n">
        <f aca="false">IF(E29="","",E29/C29)</f>
        <v>3</v>
      </c>
      <c r="G29" s="31"/>
      <c r="H29" s="35" t="str">
        <f aca="false">IF(OR(E29="",G29=""),"",E29*G29)</f>
        <v/>
      </c>
      <c r="I29" s="31"/>
    </row>
    <row r="30" customFormat="false" ht="15" hidden="false" customHeight="true" outlineLevel="0" collapsed="false">
      <c r="A30" s="32" t="s">
        <v>27</v>
      </c>
      <c r="B30" s="33" t="s">
        <v>29</v>
      </c>
      <c r="C30" s="34" t="n">
        <v>4</v>
      </c>
      <c r="D30" s="33" t="s">
        <v>11</v>
      </c>
      <c r="E30" s="29" t="n">
        <v>12</v>
      </c>
      <c r="F30" s="35" t="n">
        <f aca="false">IF(E30="","",E30/C30)</f>
        <v>3</v>
      </c>
      <c r="G30" s="31"/>
      <c r="H30" s="35" t="str">
        <f aca="false">IF(OR(E30="",G30=""),"",E30*G30)</f>
        <v/>
      </c>
      <c r="I30" s="31"/>
    </row>
    <row r="31" customFormat="false" ht="15" hidden="false" customHeight="true" outlineLevel="0" collapsed="false">
      <c r="A31" s="32" t="s">
        <v>27</v>
      </c>
      <c r="B31" s="33" t="s">
        <v>29</v>
      </c>
      <c r="C31" s="34" t="n">
        <v>4</v>
      </c>
      <c r="D31" s="33" t="s">
        <v>12</v>
      </c>
      <c r="E31" s="29" t="n">
        <v>12</v>
      </c>
      <c r="F31" s="35" t="n">
        <f aca="false">IF(E31="","",E31/C31)</f>
        <v>3</v>
      </c>
      <c r="G31" s="31"/>
      <c r="H31" s="35" t="str">
        <f aca="false">IF(OR(E31="",G31=""),"",E31*G31)</f>
        <v/>
      </c>
      <c r="I31" s="31"/>
    </row>
    <row r="32" customFormat="false" ht="15" hidden="false" customHeight="true" outlineLevel="0" collapsed="false">
      <c r="A32" s="32" t="s">
        <v>27</v>
      </c>
      <c r="B32" s="33" t="s">
        <v>29</v>
      </c>
      <c r="C32" s="34" t="n">
        <v>8</v>
      </c>
      <c r="D32" s="33" t="s">
        <v>10</v>
      </c>
      <c r="E32" s="29" t="n">
        <v>24</v>
      </c>
      <c r="F32" s="35" t="n">
        <f aca="false">IF(E32="","",E32/C32)</f>
        <v>3</v>
      </c>
      <c r="G32" s="31"/>
      <c r="H32" s="35" t="str">
        <f aca="false">IF(OR(E32="",G32=""),"",E32*G32)</f>
        <v/>
      </c>
      <c r="I32" s="31"/>
    </row>
    <row r="33" customFormat="false" ht="15" hidden="false" customHeight="true" outlineLevel="0" collapsed="false">
      <c r="A33" s="32" t="s">
        <v>27</v>
      </c>
      <c r="B33" s="33" t="s">
        <v>29</v>
      </c>
      <c r="C33" s="34" t="n">
        <v>8</v>
      </c>
      <c r="D33" s="33" t="s">
        <v>11</v>
      </c>
      <c r="E33" s="29" t="n">
        <v>24</v>
      </c>
      <c r="F33" s="35" t="n">
        <f aca="false">IF(E33="","",E33/C33)</f>
        <v>3</v>
      </c>
      <c r="G33" s="31"/>
      <c r="H33" s="35" t="str">
        <f aca="false">IF(OR(E33="",G33=""),"",E33*G33)</f>
        <v/>
      </c>
      <c r="I33" s="31"/>
    </row>
    <row r="34" customFormat="false" ht="15" hidden="false" customHeight="true" outlineLevel="0" collapsed="false">
      <c r="A34" s="32" t="s">
        <v>27</v>
      </c>
      <c r="B34" s="33" t="s">
        <v>29</v>
      </c>
      <c r="C34" s="34" t="n">
        <v>8</v>
      </c>
      <c r="D34" s="33" t="s">
        <v>12</v>
      </c>
      <c r="E34" s="29" t="n">
        <v>25</v>
      </c>
      <c r="F34" s="35" t="n">
        <f aca="false">IF(E34="","",E34/C34)</f>
        <v>3.125</v>
      </c>
      <c r="G34" s="31"/>
      <c r="H34" s="35" t="str">
        <f aca="false">IF(OR(E34="",G34=""),"",E34*G34)</f>
        <v/>
      </c>
      <c r="I34" s="31"/>
    </row>
    <row r="35" customFormat="false" ht="15" hidden="false" customHeight="true" outlineLevel="0" collapsed="false">
      <c r="A35" s="32" t="s">
        <v>27</v>
      </c>
      <c r="B35" s="33" t="s">
        <v>29</v>
      </c>
      <c r="C35" s="34" t="n">
        <v>16</v>
      </c>
      <c r="D35" s="33" t="s">
        <v>10</v>
      </c>
      <c r="E35" s="29" t="n">
        <v>50.5</v>
      </c>
      <c r="F35" s="35" t="n">
        <f aca="false">IF(E35="","",E35/C35)</f>
        <v>3.15625</v>
      </c>
      <c r="G35" s="31"/>
      <c r="H35" s="35" t="str">
        <f aca="false">IF(OR(E35="",G35=""),"",E35*G35)</f>
        <v/>
      </c>
      <c r="I35" s="31" t="s">
        <v>47</v>
      </c>
    </row>
    <row r="36" customFormat="false" ht="15" hidden="false" customHeight="true" outlineLevel="0" collapsed="false">
      <c r="A36" s="32" t="s">
        <v>27</v>
      </c>
      <c r="B36" s="33" t="s">
        <v>29</v>
      </c>
      <c r="C36" s="34" t="n">
        <v>16</v>
      </c>
      <c r="D36" s="33" t="s">
        <v>11</v>
      </c>
      <c r="E36" s="29" t="n">
        <v>50.5</v>
      </c>
      <c r="F36" s="35" t="n">
        <f aca="false">IF(E36="","",E36/C36)</f>
        <v>3.15625</v>
      </c>
      <c r="G36" s="31"/>
      <c r="H36" s="35" t="str">
        <f aca="false">IF(OR(E36="",G36=""),"",E36*G36)</f>
        <v/>
      </c>
      <c r="I36" s="31" t="s">
        <v>47</v>
      </c>
    </row>
    <row r="37" customFormat="false" ht="15" hidden="false" customHeight="true" outlineLevel="0" collapsed="false">
      <c r="A37" s="32" t="s">
        <v>27</v>
      </c>
      <c r="B37" s="33" t="s">
        <v>29</v>
      </c>
      <c r="C37" s="34" t="n">
        <v>16</v>
      </c>
      <c r="D37" s="33" t="s">
        <v>12</v>
      </c>
      <c r="E37" s="29" t="n">
        <v>50.5</v>
      </c>
      <c r="F37" s="35" t="n">
        <f aca="false">IF(E37="","",E37/C37)</f>
        <v>3.15625</v>
      </c>
      <c r="G37" s="31"/>
      <c r="H37" s="35" t="str">
        <f aca="false">IF(OR(E37="",G37=""),"",E37*G37)</f>
        <v/>
      </c>
      <c r="I37" s="31" t="s">
        <v>47</v>
      </c>
    </row>
    <row r="38" customFormat="false" ht="15" hidden="false" customHeight="true" outlineLevel="0" collapsed="false">
      <c r="A38" s="32" t="s">
        <v>27</v>
      </c>
      <c r="B38" s="33" t="s">
        <v>29</v>
      </c>
      <c r="C38" s="34" t="n">
        <v>32</v>
      </c>
      <c r="D38" s="33" t="s">
        <v>10</v>
      </c>
      <c r="E38" s="29" t="n">
        <v>103.5</v>
      </c>
      <c r="F38" s="35" t="n">
        <f aca="false">IF(E38="","",E38/C38)</f>
        <v>3.234375</v>
      </c>
      <c r="G38" s="31"/>
      <c r="H38" s="35" t="str">
        <f aca="false">IF(OR(E38="",G38=""),"",E38*G38)</f>
        <v/>
      </c>
      <c r="I38" s="31" t="s">
        <v>48</v>
      </c>
    </row>
    <row r="39" customFormat="false" ht="15" hidden="false" customHeight="true" outlineLevel="0" collapsed="false">
      <c r="A39" s="32" t="s">
        <v>27</v>
      </c>
      <c r="B39" s="33" t="s">
        <v>29</v>
      </c>
      <c r="C39" s="34" t="n">
        <v>32</v>
      </c>
      <c r="D39" s="33" t="s">
        <v>11</v>
      </c>
      <c r="E39" s="29" t="n">
        <v>103.5</v>
      </c>
      <c r="F39" s="35" t="n">
        <f aca="false">IF(E39="","",E39/C39)</f>
        <v>3.234375</v>
      </c>
      <c r="G39" s="31"/>
      <c r="H39" s="35" t="str">
        <f aca="false">IF(OR(E39="",G39=""),"",E39*G39)</f>
        <v/>
      </c>
      <c r="I39" s="31" t="s">
        <v>48</v>
      </c>
    </row>
    <row r="40" customFormat="false" ht="15" hidden="false" customHeight="true" outlineLevel="0" collapsed="false">
      <c r="A40" s="32" t="s">
        <v>27</v>
      </c>
      <c r="B40" s="33" t="s">
        <v>29</v>
      </c>
      <c r="C40" s="34" t="n">
        <v>32</v>
      </c>
      <c r="D40" s="33" t="s">
        <v>12</v>
      </c>
      <c r="E40" s="29" t="n">
        <v>103.5</v>
      </c>
      <c r="F40" s="35" t="n">
        <f aca="false">IF(E40="","",E40/C40)</f>
        <v>3.234375</v>
      </c>
      <c r="G40" s="31"/>
      <c r="H40" s="35" t="str">
        <f aca="false">IF(OR(E40="",G40=""),"",E40*G40)</f>
        <v/>
      </c>
      <c r="I40" s="31" t="s">
        <v>48</v>
      </c>
    </row>
    <row r="41" customFormat="false" ht="15" hidden="false" customHeight="true" outlineLevel="0" collapsed="false">
      <c r="A41" s="12" t="s">
        <v>27</v>
      </c>
      <c r="B41" s="27" t="s">
        <v>30</v>
      </c>
      <c r="C41" s="28" t="n">
        <v>4</v>
      </c>
      <c r="D41" s="27" t="s">
        <v>10</v>
      </c>
      <c r="E41" s="29" t="n">
        <v>13</v>
      </c>
      <c r="F41" s="30" t="n">
        <f aca="false">IF(E41="","",E41/C41)</f>
        <v>3.25</v>
      </c>
      <c r="G41" s="31"/>
      <c r="H41" s="30" t="str">
        <f aca="false">IF(OR(E41="",G41=""),"",E41*G41)</f>
        <v/>
      </c>
      <c r="I41" s="31"/>
    </row>
    <row r="42" customFormat="false" ht="15" hidden="false" customHeight="true" outlineLevel="0" collapsed="false">
      <c r="A42" s="12" t="s">
        <v>27</v>
      </c>
      <c r="B42" s="27" t="s">
        <v>30</v>
      </c>
      <c r="C42" s="28" t="n">
        <v>4</v>
      </c>
      <c r="D42" s="27" t="s">
        <v>11</v>
      </c>
      <c r="E42" s="29" t="n">
        <v>13</v>
      </c>
      <c r="F42" s="30" t="n">
        <f aca="false">IF(E42="","",E42/C42)</f>
        <v>3.25</v>
      </c>
      <c r="G42" s="31"/>
      <c r="H42" s="30" t="str">
        <f aca="false">IF(OR(E42="",G42=""),"",E42*G42)</f>
        <v/>
      </c>
      <c r="I42" s="31"/>
    </row>
    <row r="43" customFormat="false" ht="15" hidden="false" customHeight="true" outlineLevel="0" collapsed="false">
      <c r="A43" s="12" t="s">
        <v>27</v>
      </c>
      <c r="B43" s="27" t="s">
        <v>30</v>
      </c>
      <c r="C43" s="28" t="n">
        <v>4</v>
      </c>
      <c r="D43" s="27" t="s">
        <v>12</v>
      </c>
      <c r="E43" s="29" t="n">
        <v>13</v>
      </c>
      <c r="F43" s="30" t="n">
        <f aca="false">IF(E43="","",E43/C43)</f>
        <v>3.25</v>
      </c>
      <c r="G43" s="31"/>
      <c r="H43" s="30" t="str">
        <f aca="false">IF(OR(E43="",G43=""),"",E43*G43)</f>
        <v/>
      </c>
      <c r="I43" s="31"/>
    </row>
    <row r="44" customFormat="false" ht="15" hidden="false" customHeight="true" outlineLevel="0" collapsed="false">
      <c r="A44" s="12" t="s">
        <v>27</v>
      </c>
      <c r="B44" s="27" t="s">
        <v>30</v>
      </c>
      <c r="C44" s="28" t="n">
        <v>8</v>
      </c>
      <c r="D44" s="27" t="s">
        <v>10</v>
      </c>
      <c r="E44" s="29" t="n">
        <v>26</v>
      </c>
      <c r="F44" s="30" t="n">
        <f aca="false">IF(E44="","",E44/C44)</f>
        <v>3.25</v>
      </c>
      <c r="G44" s="31"/>
      <c r="H44" s="30" t="str">
        <f aca="false">IF(OR(E44="",G44=""),"",E44*G44)</f>
        <v/>
      </c>
      <c r="I44" s="31"/>
    </row>
    <row r="45" customFormat="false" ht="15" hidden="false" customHeight="true" outlineLevel="0" collapsed="false">
      <c r="A45" s="12" t="s">
        <v>27</v>
      </c>
      <c r="B45" s="27" t="s">
        <v>30</v>
      </c>
      <c r="C45" s="28" t="n">
        <v>8</v>
      </c>
      <c r="D45" s="27" t="s">
        <v>11</v>
      </c>
      <c r="E45" s="29" t="n">
        <v>26</v>
      </c>
      <c r="F45" s="30" t="n">
        <f aca="false">IF(E45="","",E45/C45)</f>
        <v>3.25</v>
      </c>
      <c r="G45" s="31"/>
      <c r="H45" s="30" t="str">
        <f aca="false">IF(OR(E45="",G45=""),"",E45*G45)</f>
        <v/>
      </c>
      <c r="I45" s="31"/>
    </row>
    <row r="46" customFormat="false" ht="15" hidden="false" customHeight="true" outlineLevel="0" collapsed="false">
      <c r="A46" s="12" t="s">
        <v>27</v>
      </c>
      <c r="B46" s="27" t="s">
        <v>30</v>
      </c>
      <c r="C46" s="28" t="n">
        <v>8</v>
      </c>
      <c r="D46" s="27" t="s">
        <v>12</v>
      </c>
      <c r="E46" s="29" t="n">
        <v>26</v>
      </c>
      <c r="F46" s="30" t="n">
        <f aca="false">IF(E46="","",E46/C46)</f>
        <v>3.25</v>
      </c>
      <c r="G46" s="31"/>
      <c r="H46" s="30" t="str">
        <f aca="false">IF(OR(E46="",G46=""),"",E46*G46)</f>
        <v/>
      </c>
      <c r="I46" s="31"/>
    </row>
    <row r="47" customFormat="false" ht="15" hidden="false" customHeight="true" outlineLevel="0" collapsed="false">
      <c r="A47" s="12" t="s">
        <v>27</v>
      </c>
      <c r="B47" s="27" t="s">
        <v>30</v>
      </c>
      <c r="C47" s="28" t="n">
        <v>16</v>
      </c>
      <c r="D47" s="27" t="s">
        <v>10</v>
      </c>
      <c r="E47" s="29" t="n">
        <v>54.5</v>
      </c>
      <c r="F47" s="30" t="n">
        <f aca="false">IF(E47="","",E47/C47)</f>
        <v>3.40625</v>
      </c>
      <c r="G47" s="31"/>
      <c r="H47" s="30" t="str">
        <f aca="false">IF(OR(E47="",G47=""),"",E47*G47)</f>
        <v/>
      </c>
      <c r="I47" s="31" t="s">
        <v>47</v>
      </c>
    </row>
    <row r="48" customFormat="false" ht="15" hidden="false" customHeight="true" outlineLevel="0" collapsed="false">
      <c r="A48" s="12" t="s">
        <v>27</v>
      </c>
      <c r="B48" s="27" t="s">
        <v>30</v>
      </c>
      <c r="C48" s="28" t="n">
        <v>16</v>
      </c>
      <c r="D48" s="27" t="s">
        <v>11</v>
      </c>
      <c r="E48" s="29" t="n">
        <v>54.5</v>
      </c>
      <c r="F48" s="30" t="n">
        <f aca="false">IF(E48="","",E48/C48)</f>
        <v>3.40625</v>
      </c>
      <c r="G48" s="31"/>
      <c r="H48" s="30" t="str">
        <f aca="false">IF(OR(E48="",G48=""),"",E48*G48)</f>
        <v/>
      </c>
      <c r="I48" s="31" t="s">
        <v>47</v>
      </c>
    </row>
    <row r="49" customFormat="false" ht="15" hidden="false" customHeight="true" outlineLevel="0" collapsed="false">
      <c r="A49" s="12" t="s">
        <v>27</v>
      </c>
      <c r="B49" s="27" t="s">
        <v>30</v>
      </c>
      <c r="C49" s="28" t="n">
        <v>16</v>
      </c>
      <c r="D49" s="27" t="s">
        <v>12</v>
      </c>
      <c r="E49" s="29" t="n">
        <v>54.5</v>
      </c>
      <c r="F49" s="30" t="n">
        <f aca="false">IF(E49="","",E49/C49)</f>
        <v>3.40625</v>
      </c>
      <c r="G49" s="31"/>
      <c r="H49" s="30" t="str">
        <f aca="false">IF(OR(E49="",G49=""),"",E49*G49)</f>
        <v/>
      </c>
      <c r="I49" s="31" t="s">
        <v>47</v>
      </c>
    </row>
    <row r="50" customFormat="false" ht="15" hidden="false" customHeight="true" outlineLevel="0" collapsed="false">
      <c r="A50" s="12" t="s">
        <v>27</v>
      </c>
      <c r="B50" s="27" t="s">
        <v>30</v>
      </c>
      <c r="C50" s="28" t="n">
        <v>32</v>
      </c>
      <c r="D50" s="27" t="s">
        <v>10</v>
      </c>
      <c r="E50" s="29" t="n">
        <v>111.5</v>
      </c>
      <c r="F50" s="30" t="n">
        <f aca="false">IF(E50="","",E50/C50)</f>
        <v>3.484375</v>
      </c>
      <c r="G50" s="31"/>
      <c r="H50" s="30" t="str">
        <f aca="false">IF(OR(E50="",G50=""),"",E50*G50)</f>
        <v/>
      </c>
      <c r="I50" s="31" t="s">
        <v>48</v>
      </c>
    </row>
    <row r="51" customFormat="false" ht="15" hidden="false" customHeight="true" outlineLevel="0" collapsed="false">
      <c r="A51" s="12" t="s">
        <v>27</v>
      </c>
      <c r="B51" s="27" t="s">
        <v>30</v>
      </c>
      <c r="C51" s="28" t="n">
        <v>32</v>
      </c>
      <c r="D51" s="27" t="s">
        <v>11</v>
      </c>
      <c r="E51" s="29" t="n">
        <v>111.5</v>
      </c>
      <c r="F51" s="30" t="n">
        <f aca="false">IF(E51="","",E51/C51)</f>
        <v>3.484375</v>
      </c>
      <c r="G51" s="31"/>
      <c r="H51" s="30" t="str">
        <f aca="false">IF(OR(E51="",G51=""),"",E51*G51)</f>
        <v/>
      </c>
      <c r="I51" s="31" t="s">
        <v>48</v>
      </c>
    </row>
    <row r="52" customFormat="false" ht="15" hidden="false" customHeight="true" outlineLevel="0" collapsed="false">
      <c r="A52" s="12" t="s">
        <v>27</v>
      </c>
      <c r="B52" s="27" t="s">
        <v>30</v>
      </c>
      <c r="C52" s="28" t="n">
        <v>32</v>
      </c>
      <c r="D52" s="27" t="s">
        <v>12</v>
      </c>
      <c r="E52" s="29" t="n">
        <v>175</v>
      </c>
      <c r="F52" s="30" t="n">
        <f aca="false">IF(E52="","",E52/C52)</f>
        <v>5.46875</v>
      </c>
      <c r="G52" s="31"/>
      <c r="H52" s="30" t="str">
        <f aca="false">IF(OR(E52="",G52=""),"",E52*G52)</f>
        <v/>
      </c>
      <c r="I52" s="31" t="s">
        <v>48</v>
      </c>
    </row>
    <row r="53" customFormat="false" ht="15" hidden="false" customHeight="true" outlineLevel="0" collapsed="false">
      <c r="A53" s="32" t="s">
        <v>27</v>
      </c>
      <c r="B53" s="33" t="s">
        <v>31</v>
      </c>
      <c r="C53" s="34" t="n">
        <v>4</v>
      </c>
      <c r="D53" s="33" t="s">
        <v>10</v>
      </c>
      <c r="E53" s="29" t="n">
        <v>15</v>
      </c>
      <c r="F53" s="35" t="n">
        <f aca="false">IF(E53="","",E53/C53)</f>
        <v>3.75</v>
      </c>
      <c r="G53" s="31"/>
      <c r="H53" s="35" t="str">
        <f aca="false">IF(OR(E53="",G53=""),"",E53*G53)</f>
        <v/>
      </c>
      <c r="I53" s="31"/>
    </row>
    <row r="54" customFormat="false" ht="15" hidden="false" customHeight="true" outlineLevel="0" collapsed="false">
      <c r="A54" s="32" t="s">
        <v>27</v>
      </c>
      <c r="B54" s="33" t="s">
        <v>31</v>
      </c>
      <c r="C54" s="34" t="n">
        <v>4</v>
      </c>
      <c r="D54" s="33" t="s">
        <v>11</v>
      </c>
      <c r="E54" s="29" t="n">
        <v>15</v>
      </c>
      <c r="F54" s="35" t="n">
        <f aca="false">IF(E54="","",E54/C54)</f>
        <v>3.75</v>
      </c>
      <c r="G54" s="31"/>
      <c r="H54" s="35" t="str">
        <f aca="false">IF(OR(E54="",G54=""),"",E54*G54)</f>
        <v/>
      </c>
      <c r="I54" s="31"/>
    </row>
    <row r="55" customFormat="false" ht="15" hidden="false" customHeight="true" outlineLevel="0" collapsed="false">
      <c r="A55" s="32" t="s">
        <v>27</v>
      </c>
      <c r="B55" s="33" t="s">
        <v>31</v>
      </c>
      <c r="C55" s="34" t="n">
        <v>4</v>
      </c>
      <c r="D55" s="33" t="s">
        <v>12</v>
      </c>
      <c r="E55" s="29" t="n">
        <v>15</v>
      </c>
      <c r="F55" s="35" t="n">
        <f aca="false">IF(E55="","",E55/C55)</f>
        <v>3.75</v>
      </c>
      <c r="G55" s="31"/>
      <c r="H55" s="35" t="str">
        <f aca="false">IF(OR(E55="",G55=""),"",E55*G55)</f>
        <v/>
      </c>
      <c r="I55" s="31"/>
    </row>
    <row r="56" customFormat="false" ht="15" hidden="false" customHeight="true" outlineLevel="0" collapsed="false">
      <c r="A56" s="32" t="s">
        <v>27</v>
      </c>
      <c r="B56" s="33" t="s">
        <v>31</v>
      </c>
      <c r="C56" s="34" t="n">
        <v>8</v>
      </c>
      <c r="D56" s="33" t="s">
        <v>10</v>
      </c>
      <c r="E56" s="29" t="n">
        <v>27.5</v>
      </c>
      <c r="F56" s="35" t="n">
        <f aca="false">IF(E56="","",E56/C56)</f>
        <v>3.4375</v>
      </c>
      <c r="G56" s="31"/>
      <c r="H56" s="35" t="str">
        <f aca="false">IF(OR(E56="",G56=""),"",E56*G56)</f>
        <v/>
      </c>
      <c r="I56" s="31"/>
    </row>
    <row r="57" customFormat="false" ht="15" hidden="false" customHeight="true" outlineLevel="0" collapsed="false">
      <c r="A57" s="32" t="s">
        <v>27</v>
      </c>
      <c r="B57" s="33" t="s">
        <v>31</v>
      </c>
      <c r="C57" s="34" t="n">
        <v>8</v>
      </c>
      <c r="D57" s="33" t="s">
        <v>11</v>
      </c>
      <c r="E57" s="29" t="n">
        <v>27.5</v>
      </c>
      <c r="F57" s="35" t="n">
        <f aca="false">IF(E57="","",E57/C57)</f>
        <v>3.4375</v>
      </c>
      <c r="G57" s="31"/>
      <c r="H57" s="35" t="str">
        <f aca="false">IF(OR(E57="",G57=""),"",E57*G57)</f>
        <v/>
      </c>
      <c r="I57" s="31"/>
    </row>
    <row r="58" customFormat="false" ht="15" hidden="false" customHeight="true" outlineLevel="0" collapsed="false">
      <c r="A58" s="32" t="s">
        <v>27</v>
      </c>
      <c r="B58" s="33" t="s">
        <v>31</v>
      </c>
      <c r="C58" s="34" t="n">
        <v>8</v>
      </c>
      <c r="D58" s="33" t="s">
        <v>12</v>
      </c>
      <c r="E58" s="29" t="n">
        <v>27.5</v>
      </c>
      <c r="F58" s="35" t="n">
        <f aca="false">IF(E58="","",E58/C58)</f>
        <v>3.4375</v>
      </c>
      <c r="G58" s="31"/>
      <c r="H58" s="35" t="str">
        <f aca="false">IF(OR(E58="",G58=""),"",E58*G58)</f>
        <v/>
      </c>
      <c r="I58" s="31"/>
    </row>
    <row r="59" customFormat="false" ht="15" hidden="false" customHeight="true" outlineLevel="0" collapsed="false">
      <c r="A59" s="32" t="s">
        <v>27</v>
      </c>
      <c r="B59" s="33" t="s">
        <v>31</v>
      </c>
      <c r="C59" s="34" t="n">
        <v>16</v>
      </c>
      <c r="D59" s="33" t="s">
        <v>10</v>
      </c>
      <c r="E59" s="29" t="n">
        <v>57.5</v>
      </c>
      <c r="F59" s="35" t="n">
        <f aca="false">IF(E59="","",E59/C59)</f>
        <v>3.59375</v>
      </c>
      <c r="G59" s="31"/>
      <c r="H59" s="35" t="str">
        <f aca="false">IF(OR(E59="",G59=""),"",E59*G59)</f>
        <v/>
      </c>
      <c r="I59" s="31" t="s">
        <v>47</v>
      </c>
    </row>
    <row r="60" customFormat="false" ht="15" hidden="false" customHeight="true" outlineLevel="0" collapsed="false">
      <c r="A60" s="32" t="s">
        <v>27</v>
      </c>
      <c r="B60" s="33" t="s">
        <v>31</v>
      </c>
      <c r="C60" s="34" t="n">
        <v>16</v>
      </c>
      <c r="D60" s="33" t="s">
        <v>11</v>
      </c>
      <c r="E60" s="29" t="n">
        <v>57.5</v>
      </c>
      <c r="F60" s="35" t="n">
        <f aca="false">IF(E60="","",E60/C60)</f>
        <v>3.59375</v>
      </c>
      <c r="G60" s="31"/>
      <c r="H60" s="35" t="str">
        <f aca="false">IF(OR(E60="",G60=""),"",E60*G60)</f>
        <v/>
      </c>
      <c r="I60" s="31" t="s">
        <v>47</v>
      </c>
    </row>
    <row r="61" customFormat="false" ht="15" hidden="false" customHeight="true" outlineLevel="0" collapsed="false">
      <c r="A61" s="32" t="s">
        <v>27</v>
      </c>
      <c r="B61" s="33" t="s">
        <v>31</v>
      </c>
      <c r="C61" s="34" t="n">
        <v>16</v>
      </c>
      <c r="D61" s="33" t="s">
        <v>12</v>
      </c>
      <c r="E61" s="29" t="n">
        <v>57.5</v>
      </c>
      <c r="F61" s="35" t="n">
        <f aca="false">IF(E61="","",E61/C61)</f>
        <v>3.59375</v>
      </c>
      <c r="G61" s="31"/>
      <c r="H61" s="35" t="str">
        <f aca="false">IF(OR(E61="",G61=""),"",E61*G61)</f>
        <v/>
      </c>
      <c r="I61" s="31" t="s">
        <v>47</v>
      </c>
    </row>
    <row r="62" customFormat="false" ht="15" hidden="false" customHeight="true" outlineLevel="0" collapsed="false">
      <c r="A62" s="32" t="s">
        <v>27</v>
      </c>
      <c r="B62" s="33" t="s">
        <v>31</v>
      </c>
      <c r="C62" s="34" t="n">
        <v>32</v>
      </c>
      <c r="D62" s="33" t="s">
        <v>10</v>
      </c>
      <c r="E62" s="29" t="n">
        <v>117.5</v>
      </c>
      <c r="F62" s="35" t="n">
        <f aca="false">IF(E62="","",E62/C62)</f>
        <v>3.671875</v>
      </c>
      <c r="G62" s="31"/>
      <c r="H62" s="35" t="str">
        <f aca="false">IF(OR(E62="",G62=""),"",E62*G62)</f>
        <v/>
      </c>
      <c r="I62" s="31" t="s">
        <v>48</v>
      </c>
    </row>
    <row r="63" customFormat="false" ht="15" hidden="false" customHeight="true" outlineLevel="0" collapsed="false">
      <c r="A63" s="32" t="s">
        <v>27</v>
      </c>
      <c r="B63" s="33" t="s">
        <v>31</v>
      </c>
      <c r="C63" s="34" t="n">
        <v>32</v>
      </c>
      <c r="D63" s="33" t="s">
        <v>11</v>
      </c>
      <c r="E63" s="29" t="n">
        <v>117.5</v>
      </c>
      <c r="F63" s="35" t="n">
        <f aca="false">IF(E63="","",E63/C63)</f>
        <v>3.671875</v>
      </c>
      <c r="G63" s="31"/>
      <c r="H63" s="35" t="str">
        <f aca="false">IF(OR(E63="",G63=""),"",E63*G63)</f>
        <v/>
      </c>
      <c r="I63" s="31" t="s">
        <v>48</v>
      </c>
    </row>
    <row r="64" customFormat="false" ht="15" hidden="false" customHeight="true" outlineLevel="0" collapsed="false">
      <c r="A64" s="32" t="s">
        <v>27</v>
      </c>
      <c r="B64" s="33" t="s">
        <v>31</v>
      </c>
      <c r="C64" s="34" t="n">
        <v>32</v>
      </c>
      <c r="D64" s="33" t="s">
        <v>12</v>
      </c>
      <c r="E64" s="29" t="n">
        <v>117.5</v>
      </c>
      <c r="F64" s="35" t="n">
        <f aca="false">IF(E64="","",E64/C64)</f>
        <v>3.671875</v>
      </c>
      <c r="G64" s="31"/>
      <c r="H64" s="35" t="str">
        <f aca="false">IF(OR(E64="",G64=""),"",E64*G64)</f>
        <v/>
      </c>
      <c r="I64" s="31" t="s">
        <v>48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1" width="110"/>
  </cols>
  <sheetData>
    <row r="1" customFormat="false" ht="15.75" hidden="false" customHeight="true" outlineLevel="0" collapsed="false">
      <c r="A1" s="36" t="s">
        <v>49</v>
      </c>
    </row>
    <row r="2" customFormat="false" ht="15" hidden="false" customHeight="true" outlineLevel="0" collapsed="false">
      <c r="A2" s="37"/>
    </row>
    <row r="3" customFormat="false" ht="15" hidden="false" customHeight="true" outlineLevel="0" collapsed="false">
      <c r="A3" s="37" t="s">
        <v>50</v>
      </c>
    </row>
    <row r="4" customFormat="false" ht="15" hidden="false" customHeight="true" outlineLevel="0" collapsed="false">
      <c r="A4" s="37" t="s">
        <v>51</v>
      </c>
    </row>
    <row r="5" customFormat="false" ht="15" hidden="false" customHeight="true" outlineLevel="0" collapsed="false">
      <c r="A5" s="37" t="s">
        <v>52</v>
      </c>
    </row>
    <row r="6" customFormat="false" ht="15" hidden="false" customHeight="true" outlineLevel="0" collapsed="false">
      <c r="A6" s="37" t="s">
        <v>53</v>
      </c>
    </row>
    <row r="7" customFormat="false" ht="15" hidden="false" customHeight="true" outlineLevel="0" collapsed="false">
      <c r="A7" s="37" t="s">
        <v>54</v>
      </c>
    </row>
    <row r="8" customFormat="false" ht="15" hidden="false" customHeight="true" outlineLevel="0" collapsed="false">
      <c r="A8" s="37" t="s">
        <v>55</v>
      </c>
    </row>
    <row r="9" customFormat="false" ht="15" hidden="false" customHeight="true" outlineLevel="0" collapsed="false">
      <c r="A9" s="37" t="s">
        <v>56</v>
      </c>
    </row>
    <row r="10" customFormat="false" ht="15" hidden="false" customHeight="true" outlineLevel="0" collapsed="false">
      <c r="A10" s="37" t="s">
        <v>57</v>
      </c>
    </row>
    <row r="11" customFormat="false" ht="15" hidden="false" customHeight="true" outlineLevel="0" collapsed="false">
      <c r="A11" s="37" t="s">
        <v>58</v>
      </c>
    </row>
    <row r="12" customFormat="false" ht="15" hidden="false" customHeight="true" outlineLevel="0" collapsed="false">
      <c r="A12" s="37"/>
    </row>
    <row r="13" customFormat="false" ht="15" hidden="false" customHeight="true" outlineLevel="0" collapsed="false">
      <c r="A13" s="38" t="s">
        <v>59</v>
      </c>
    </row>
    <row r="14" customFormat="false" ht="15" hidden="false" customHeight="true" outlineLevel="0" collapsed="false">
      <c r="A14" s="37" t="s">
        <v>60</v>
      </c>
    </row>
    <row r="15" customFormat="false" ht="15" hidden="false" customHeight="true" outlineLevel="0" collapsed="false">
      <c r="A15" s="37" t="s">
        <v>61</v>
      </c>
    </row>
    <row r="16" customFormat="false" ht="15" hidden="false" customHeight="true" outlineLevel="0" collapsed="false">
      <c r="A16" s="37" t="s">
        <v>62</v>
      </c>
    </row>
    <row r="17" customFormat="false" ht="15" hidden="false" customHeight="true" outlineLevel="0" collapsed="false">
      <c r="A17" s="37"/>
    </row>
    <row r="18" customFormat="false" ht="15" hidden="false" customHeight="true" outlineLevel="0" collapsed="false">
      <c r="A18" s="38" t="s">
        <v>63</v>
      </c>
    </row>
    <row r="19" customFormat="false" ht="15" hidden="false" customHeight="true" outlineLevel="0" collapsed="false">
      <c r="A19" s="37" t="s">
        <v>64</v>
      </c>
    </row>
    <row r="20" customFormat="false" ht="15" hidden="false" customHeight="true" outlineLevel="0" collapsed="false">
      <c r="A20" s="37" t="s">
        <v>65</v>
      </c>
    </row>
    <row r="21" customFormat="false" ht="15" hidden="false" customHeight="true" outlineLevel="0" collapsed="false">
      <c r="A21" s="37" t="s">
        <v>66</v>
      </c>
    </row>
    <row r="23" customFormat="false" ht="15" hidden="false" customHeight="false" outlineLevel="0" collapsed="false">
      <c r="A23" s="39" t="s">
        <v>67</v>
      </c>
    </row>
    <row r="24" customFormat="false" ht="15" hidden="false" customHeight="false" outlineLevel="0" collapsed="false">
      <c r="A24" s="40" t="s">
        <v>68</v>
      </c>
    </row>
    <row r="25" customFormat="false" ht="15" hidden="false" customHeight="false" outlineLevel="0" collapsed="false">
      <c r="A25" s="40" t="s">
        <v>69</v>
      </c>
    </row>
    <row r="26" customFormat="false" ht="15" hidden="false" customHeight="false" outlineLevel="0" collapsed="false">
      <c r="A26" s="40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1" width="6"/>
    <col collapsed="false" customWidth="true" hidden="false" outlineLevel="0" max="2" min="2" style="21" width="12"/>
    <col collapsed="false" customWidth="true" hidden="false" outlineLevel="0" max="3" min="3" style="21" width="22"/>
    <col collapsed="false" customWidth="true" hidden="false" outlineLevel="0" max="4" min="4" style="21" width="10"/>
    <col collapsed="false" customWidth="true" hidden="false" outlineLevel="0" max="5" min="5" style="21" width="26"/>
    <col collapsed="false" customWidth="true" hidden="false" outlineLevel="0" max="6" min="6" style="21" width="6"/>
    <col collapsed="false" customWidth="true" hidden="false" outlineLevel="0" max="7" min="7" style="21" width="12"/>
    <col collapsed="false" customWidth="true" hidden="false" outlineLevel="0" max="8" min="8" style="21" width="11"/>
    <col collapsed="false" customWidth="true" hidden="false" outlineLevel="0" max="9" min="9" style="21" width="40"/>
    <col collapsed="false" customWidth="true" hidden="false" outlineLevel="0" max="10" min="10" style="21" width="3"/>
    <col collapsed="false" customWidth="true" hidden="false" outlineLevel="0" max="11" min="11" style="21" width="12"/>
    <col collapsed="false" customWidth="true" hidden="false" outlineLevel="0" max="13" min="13" style="21" width="11"/>
  </cols>
  <sheetData>
    <row r="1" customFormat="false" ht="17.25" hidden="false" customHeight="true" outlineLevel="0" collapsed="false">
      <c r="A1" s="22" t="s">
        <v>71</v>
      </c>
    </row>
    <row r="2" customFormat="false" ht="15" hidden="false" customHeight="true" outlineLevel="0" collapsed="false">
      <c r="A2" s="23" t="s">
        <v>39</v>
      </c>
      <c r="B2" s="23" t="n">
        <f aca="false">SUM(F5:F1000)</f>
        <v>71</v>
      </c>
      <c r="C2" s="25" t="s">
        <v>72</v>
      </c>
      <c r="D2" s="26" t="n">
        <f aca="false">SUM(H5:H1000)</f>
        <v>589</v>
      </c>
      <c r="E2" s="41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42" t="s">
        <v>75</v>
      </c>
      <c r="L4" s="42" t="s">
        <v>34</v>
      </c>
      <c r="M4" s="42" t="s">
        <v>76</v>
      </c>
    </row>
    <row r="5" customFormat="false" ht="15" hidden="false" customHeight="true" outlineLevel="0" collapsed="false">
      <c r="A5" s="12" t="n">
        <v>1</v>
      </c>
      <c r="B5" s="27" t="s">
        <v>77</v>
      </c>
      <c r="C5" s="27" t="s">
        <v>25</v>
      </c>
      <c r="D5" s="28" t="n">
        <v>4</v>
      </c>
      <c r="E5" s="27" t="s">
        <v>10</v>
      </c>
      <c r="F5" s="14" t="n">
        <v>2</v>
      </c>
      <c r="G5" s="43" t="n">
        <f aca="false">SUMIFS('Bulk Pricing'!$E:$E,'Bulk Pricing'!$B:$B,C5,'Bulk Pricing'!$C:$C,D5,'Bulk Pricing'!$D:$D,E5)</f>
        <v>7</v>
      </c>
      <c r="H5" s="30" t="n">
        <f aca="false">IF(OR(F5="",G5=""),"",F5*G5)</f>
        <v>14</v>
      </c>
      <c r="I5" s="27"/>
      <c r="K5" s="27" t="s">
        <v>78</v>
      </c>
      <c r="L5" s="12" t="n">
        <f aca="false">SUMIFS($F$5:$F$1000,$B$5:$B$1000,K5)</f>
        <v>1</v>
      </c>
      <c r="M5" s="30" t="n">
        <f aca="false">SUMIFS($H$5:$H$1000,$B$5:$B$1000,K5)</f>
        <v>7</v>
      </c>
    </row>
    <row r="6" customFormat="false" ht="15" hidden="false" customHeight="true" outlineLevel="0" collapsed="false">
      <c r="A6" s="12" t="n">
        <v>2</v>
      </c>
      <c r="B6" s="27" t="s">
        <v>77</v>
      </c>
      <c r="C6" s="27" t="s">
        <v>25</v>
      </c>
      <c r="D6" s="28" t="n">
        <v>4</v>
      </c>
      <c r="E6" s="27" t="s">
        <v>11</v>
      </c>
      <c r="F6" s="14" t="n">
        <v>9</v>
      </c>
      <c r="G6" s="43" t="n">
        <f aca="false">SUMIFS('Bulk Pricing'!$E:$E,'Bulk Pricing'!$B:$B,C6,'Bulk Pricing'!$C:$C,D6,'Bulk Pricing'!$D:$D,E6)</f>
        <v>7</v>
      </c>
      <c r="H6" s="30" t="n">
        <f aca="false">IF(OR(F6="",G6=""),"",F6*G6)</f>
        <v>63</v>
      </c>
      <c r="I6" s="27"/>
      <c r="K6" s="27" t="s">
        <v>79</v>
      </c>
      <c r="L6" s="12" t="n">
        <f aca="false">SUMIFS($F$5:$F$1000,$B$5:$B$1000,K6)</f>
        <v>2</v>
      </c>
      <c r="M6" s="30" t="n">
        <f aca="false">SUMIFS($H$5:$H$1000,$B$5:$B$1000,K6)</f>
        <v>22</v>
      </c>
    </row>
    <row r="7" customFormat="false" ht="15" hidden="false" customHeight="true" outlineLevel="0" collapsed="false">
      <c r="A7" s="12" t="n">
        <v>3</v>
      </c>
      <c r="B7" s="27" t="s">
        <v>80</v>
      </c>
      <c r="C7" s="27" t="s">
        <v>25</v>
      </c>
      <c r="D7" s="28" t="n">
        <v>4</v>
      </c>
      <c r="E7" s="27" t="s">
        <v>11</v>
      </c>
      <c r="F7" s="14" t="n">
        <v>2</v>
      </c>
      <c r="G7" s="43" t="n">
        <f aca="false">SUMIFS('Bulk Pricing'!$E:$E,'Bulk Pricing'!$B:$B,C7,'Bulk Pricing'!$C:$C,D7,'Bulk Pricing'!$D:$D,E7)</f>
        <v>7</v>
      </c>
      <c r="H7" s="30" t="n">
        <f aca="false">IF(OR(F7="",G7=""),"",F7*G7)</f>
        <v>14</v>
      </c>
      <c r="I7" s="27"/>
      <c r="K7" s="27" t="s">
        <v>80</v>
      </c>
      <c r="L7" s="12" t="n">
        <f aca="false">SUMIFS($F$5:$F$1000,$B$5:$B$1000,K7)</f>
        <v>12</v>
      </c>
      <c r="M7" s="30" t="n">
        <f aca="false">SUMIFS($H$5:$H$1000,$B$5:$B$1000,K7)</f>
        <v>100</v>
      </c>
    </row>
    <row r="8" customFormat="false" ht="15" hidden="false" customHeight="true" outlineLevel="0" collapsed="false">
      <c r="A8" s="12" t="n">
        <v>4</v>
      </c>
      <c r="B8" s="27" t="s">
        <v>79</v>
      </c>
      <c r="C8" s="27" t="s">
        <v>25</v>
      </c>
      <c r="D8" s="28" t="n">
        <v>8</v>
      </c>
      <c r="E8" s="27" t="s">
        <v>10</v>
      </c>
      <c r="F8" s="14" t="n">
        <v>2</v>
      </c>
      <c r="G8" s="43" t="n">
        <f aca="false">SUMIFS('Bulk Pricing'!$E:$E,'Bulk Pricing'!$B:$B,C8,'Bulk Pricing'!$C:$C,D8,'Bulk Pricing'!$D:$D,E8)</f>
        <v>11</v>
      </c>
      <c r="H8" s="30" t="n">
        <f aca="false">IF(OR(F8="",G8=""),"",F8*G8)</f>
        <v>22</v>
      </c>
      <c r="I8" s="27"/>
      <c r="K8" s="27" t="s">
        <v>81</v>
      </c>
      <c r="L8" s="12" t="n">
        <f aca="false">SUMIFS($F$5:$F$1000,$B$5:$B$1000,K8)</f>
        <v>2</v>
      </c>
      <c r="M8" s="30" t="n">
        <f aca="false">SUMIFS($H$5:$H$1000,$B$5:$B$1000,K8)</f>
        <v>22</v>
      </c>
    </row>
    <row r="9" customFormat="false" ht="15" hidden="false" customHeight="true" outlineLevel="0" collapsed="false">
      <c r="A9" s="12" t="n">
        <v>5</v>
      </c>
      <c r="B9" s="27" t="s">
        <v>82</v>
      </c>
      <c r="C9" s="27" t="s">
        <v>25</v>
      </c>
      <c r="D9" s="28" t="n">
        <v>4</v>
      </c>
      <c r="E9" s="27" t="s">
        <v>10</v>
      </c>
      <c r="F9" s="14" t="n">
        <v>2</v>
      </c>
      <c r="G9" s="43" t="n">
        <f aca="false">SUMIFS('Bulk Pricing'!$E:$E,'Bulk Pricing'!$B:$B,C9,'Bulk Pricing'!$C:$C,D9,'Bulk Pricing'!$D:$D,E9)</f>
        <v>7</v>
      </c>
      <c r="H9" s="30" t="n">
        <f aca="false">IF(OR(F9="",G9=""),"",F9*G9)</f>
        <v>14</v>
      </c>
      <c r="I9" s="27"/>
      <c r="K9" s="27" t="s">
        <v>83</v>
      </c>
      <c r="L9" s="12" t="n">
        <f aca="false">SUMIFS($F$5:$F$1000,$B$5:$B$1000,K9)</f>
        <v>2</v>
      </c>
      <c r="M9" s="30" t="n">
        <f aca="false">SUMIFS($H$5:$H$1000,$B$5:$B$1000,K9)</f>
        <v>22</v>
      </c>
    </row>
    <row r="10" customFormat="false" ht="15" hidden="false" customHeight="true" outlineLevel="0" collapsed="false">
      <c r="A10" s="12" t="n">
        <v>6</v>
      </c>
      <c r="B10" s="27" t="s">
        <v>77</v>
      </c>
      <c r="C10" s="27" t="s">
        <v>25</v>
      </c>
      <c r="D10" s="28" t="n">
        <v>8</v>
      </c>
      <c r="E10" s="27" t="s">
        <v>10</v>
      </c>
      <c r="F10" s="14" t="n">
        <v>2</v>
      </c>
      <c r="G10" s="43" t="n">
        <f aca="false">SUMIFS('Bulk Pricing'!$E:$E,'Bulk Pricing'!$B:$B,C10,'Bulk Pricing'!$C:$C,D10,'Bulk Pricing'!$D:$D,E10)</f>
        <v>11</v>
      </c>
      <c r="H10" s="30" t="n">
        <f aca="false">IF(OR(F10="",G10=""),"",F10*G10)</f>
        <v>22</v>
      </c>
      <c r="I10" s="27"/>
      <c r="K10" s="27" t="s">
        <v>84</v>
      </c>
      <c r="L10" s="12" t="n">
        <f aca="false">SUMIFS($F$5:$F$1000,$B$5:$B$1000,K10)</f>
        <v>3</v>
      </c>
      <c r="M10" s="30" t="n">
        <f aca="false">SUMIFS($H$5:$H$1000,$B$5:$B$1000,K10)</f>
        <v>21</v>
      </c>
    </row>
    <row r="11" customFormat="false" ht="15" hidden="false" customHeight="true" outlineLevel="0" collapsed="false">
      <c r="A11" s="12" t="n">
        <v>7</v>
      </c>
      <c r="B11" s="27" t="s">
        <v>78</v>
      </c>
      <c r="C11" s="27" t="s">
        <v>25</v>
      </c>
      <c r="D11" s="28" t="n">
        <v>4</v>
      </c>
      <c r="E11" s="27" t="s">
        <v>10</v>
      </c>
      <c r="F11" s="14" t="n">
        <v>1</v>
      </c>
      <c r="G11" s="43" t="n">
        <f aca="false">SUMIFS('Bulk Pricing'!$E:$E,'Bulk Pricing'!$B:$B,C11,'Bulk Pricing'!$C:$C,D11,'Bulk Pricing'!$D:$D,E11)</f>
        <v>7</v>
      </c>
      <c r="H11" s="30" t="n">
        <f aca="false">IF(OR(F11="",G11=""),"",F11*G11)</f>
        <v>7</v>
      </c>
      <c r="I11" s="27"/>
      <c r="K11" s="27" t="s">
        <v>77</v>
      </c>
      <c r="L11" s="12" t="n">
        <f aca="false">SUMIFS($F$5:$F$1000,$B$5:$B$1000,K11)</f>
        <v>29</v>
      </c>
      <c r="M11" s="30" t="n">
        <f aca="false">SUMIFS($H$5:$H$1000,$B$5:$B$1000,K11)</f>
        <v>223</v>
      </c>
    </row>
    <row r="12" customFormat="false" ht="15" hidden="false" customHeight="true" outlineLevel="0" collapsed="false">
      <c r="A12" s="12" t="n">
        <v>8</v>
      </c>
      <c r="B12" s="27" t="s">
        <v>80</v>
      </c>
      <c r="C12" s="27" t="s">
        <v>25</v>
      </c>
      <c r="D12" s="28" t="n">
        <v>4</v>
      </c>
      <c r="E12" s="27" t="s">
        <v>10</v>
      </c>
      <c r="F12" s="14" t="n">
        <v>3</v>
      </c>
      <c r="G12" s="43" t="n">
        <f aca="false">SUMIFS('Bulk Pricing'!$E:$E,'Bulk Pricing'!$B:$B,C12,'Bulk Pricing'!$C:$C,D12,'Bulk Pricing'!$D:$D,E12)</f>
        <v>7</v>
      </c>
      <c r="H12" s="30" t="n">
        <f aca="false">IF(OR(F12="",G12=""),"",F12*G12)</f>
        <v>21</v>
      </c>
      <c r="I12" s="27"/>
      <c r="K12" s="27" t="s">
        <v>82</v>
      </c>
      <c r="L12" s="12" t="n">
        <f aca="false">SUMIFS($F$5:$F$1000,$B$5:$B$1000,K12)</f>
        <v>18</v>
      </c>
      <c r="M12" s="30" t="n">
        <f aca="false">SUMIFS($H$5:$H$1000,$B$5:$B$1000,K12)</f>
        <v>150</v>
      </c>
    </row>
    <row r="13" customFormat="false" ht="15" hidden="false" customHeight="true" outlineLevel="0" collapsed="false">
      <c r="A13" s="32" t="n">
        <v>9</v>
      </c>
      <c r="B13" s="33" t="s">
        <v>77</v>
      </c>
      <c r="C13" s="33" t="s">
        <v>26</v>
      </c>
      <c r="D13" s="34" t="n">
        <v>8</v>
      </c>
      <c r="E13" s="33" t="s">
        <v>10</v>
      </c>
      <c r="F13" s="14" t="n">
        <v>2</v>
      </c>
      <c r="G13" s="44" t="n">
        <f aca="false">SUMIFS('Bulk Pricing'!$E:$E,'Bulk Pricing'!$B:$B,C13,'Bulk Pricing'!$C:$C,D13,'Bulk Pricing'!$D:$D,E13)</f>
        <v>11</v>
      </c>
      <c r="H13" s="35" t="n">
        <f aca="false">IF(OR(F13="",G13=""),"",F13*G13)</f>
        <v>22</v>
      </c>
      <c r="I13" s="33"/>
      <c r="K13" s="27" t="s">
        <v>85</v>
      </c>
      <c r="L13" s="12" t="n">
        <f aca="false">SUMIFS($F$5:$F$1000,$B$5:$B$1000,K13)</f>
        <v>2</v>
      </c>
      <c r="M13" s="30" t="n">
        <f aca="false">SUMIFS($H$5:$H$1000,$B$5:$B$1000,K13)</f>
        <v>22</v>
      </c>
    </row>
    <row r="14" customFormat="false" ht="15" hidden="false" customHeight="true" outlineLevel="0" collapsed="false">
      <c r="A14" s="32" t="n">
        <v>10</v>
      </c>
      <c r="B14" s="33" t="s">
        <v>80</v>
      </c>
      <c r="C14" s="33" t="s">
        <v>26</v>
      </c>
      <c r="D14" s="34" t="n">
        <v>8</v>
      </c>
      <c r="E14" s="33" t="s">
        <v>10</v>
      </c>
      <c r="F14" s="14" t="n">
        <v>4</v>
      </c>
      <c r="G14" s="44" t="n">
        <f aca="false">SUMIFS('Bulk Pricing'!$E:$E,'Bulk Pricing'!$B:$B,C14,'Bulk Pricing'!$C:$C,D14,'Bulk Pricing'!$D:$D,E14)</f>
        <v>11</v>
      </c>
      <c r="H14" s="35" t="n">
        <f aca="false">IF(OR(F14="",G14=""),"",F14*G14)</f>
        <v>44</v>
      </c>
      <c r="I14" s="33"/>
    </row>
    <row r="15" customFormat="false" ht="15" hidden="false" customHeight="true" outlineLevel="0" collapsed="false">
      <c r="A15" s="32" t="n">
        <v>11</v>
      </c>
      <c r="B15" s="33" t="s">
        <v>83</v>
      </c>
      <c r="C15" s="33" t="s">
        <v>26</v>
      </c>
      <c r="D15" s="34" t="n">
        <v>8</v>
      </c>
      <c r="E15" s="33" t="s">
        <v>10</v>
      </c>
      <c r="F15" s="14" t="n">
        <v>2</v>
      </c>
      <c r="G15" s="44" t="n">
        <f aca="false">SUMIFS('Bulk Pricing'!$E:$E,'Bulk Pricing'!$B:$B,C15,'Bulk Pricing'!$C:$C,D15,'Bulk Pricing'!$D:$D,E15)</f>
        <v>11</v>
      </c>
      <c r="H15" s="35" t="n">
        <f aca="false">IF(OR(F15="",G15=""),"",F15*G15)</f>
        <v>22</v>
      </c>
      <c r="I15" s="33"/>
    </row>
    <row r="16" customFormat="false" ht="15" hidden="false" customHeight="true" outlineLevel="0" collapsed="false">
      <c r="A16" s="32" t="n">
        <v>12</v>
      </c>
      <c r="B16" s="33" t="s">
        <v>82</v>
      </c>
      <c r="C16" s="33" t="s">
        <v>26</v>
      </c>
      <c r="D16" s="34" t="n">
        <v>4</v>
      </c>
      <c r="E16" s="33" t="s">
        <v>10</v>
      </c>
      <c r="F16" s="14" t="n">
        <v>1</v>
      </c>
      <c r="G16" s="44" t="n">
        <f aca="false">SUMIFS('Bulk Pricing'!$E:$E,'Bulk Pricing'!$B:$B,C16,'Bulk Pricing'!$C:$C,D16,'Bulk Pricing'!$D:$D,E16)</f>
        <v>7</v>
      </c>
      <c r="H16" s="35" t="n">
        <f aca="false">IF(OR(F16="",G16=""),"",F16*G16)</f>
        <v>7</v>
      </c>
      <c r="I16" s="33"/>
    </row>
    <row r="17" customFormat="false" ht="15" hidden="false" customHeight="true" outlineLevel="0" collapsed="false">
      <c r="A17" s="32" t="n">
        <v>13</v>
      </c>
      <c r="B17" s="33" t="s">
        <v>84</v>
      </c>
      <c r="C17" s="33" t="s">
        <v>26</v>
      </c>
      <c r="D17" s="34" t="n">
        <v>4</v>
      </c>
      <c r="E17" s="33" t="s">
        <v>10</v>
      </c>
      <c r="F17" s="14" t="n">
        <v>3</v>
      </c>
      <c r="G17" s="44" t="n">
        <f aca="false">SUMIFS('Bulk Pricing'!$E:$E,'Bulk Pricing'!$B:$B,C17,'Bulk Pricing'!$C:$C,D17,'Bulk Pricing'!$D:$D,E17)</f>
        <v>7</v>
      </c>
      <c r="H17" s="35" t="n">
        <f aca="false">IF(OR(F17="",G17=""),"",F17*G17)</f>
        <v>21</v>
      </c>
      <c r="I17" s="33"/>
    </row>
    <row r="18" customFormat="false" ht="15" hidden="false" customHeight="true" outlineLevel="0" collapsed="false">
      <c r="A18" s="32" t="n">
        <v>14</v>
      </c>
      <c r="B18" s="33" t="s">
        <v>82</v>
      </c>
      <c r="C18" s="33" t="s">
        <v>26</v>
      </c>
      <c r="D18" s="34" t="n">
        <v>4</v>
      </c>
      <c r="E18" s="33" t="s">
        <v>10</v>
      </c>
      <c r="F18" s="14" t="n">
        <v>2</v>
      </c>
      <c r="G18" s="44" t="n">
        <f aca="false">SUMIFS('Bulk Pricing'!$E:$E,'Bulk Pricing'!$B:$B,C18,'Bulk Pricing'!$C:$C,D18,'Bulk Pricing'!$D:$D,E18)</f>
        <v>7</v>
      </c>
      <c r="H18" s="35" t="n">
        <f aca="false">IF(OR(F18="",G18=""),"",F18*G18)</f>
        <v>14</v>
      </c>
      <c r="I18" s="33"/>
    </row>
    <row r="19" customFormat="false" ht="15" hidden="false" customHeight="true" outlineLevel="0" collapsed="false">
      <c r="A19" s="32" t="n">
        <v>15</v>
      </c>
      <c r="B19" s="33" t="s">
        <v>82</v>
      </c>
      <c r="C19" s="33" t="s">
        <v>26</v>
      </c>
      <c r="D19" s="34" t="n">
        <v>4</v>
      </c>
      <c r="E19" s="33" t="s">
        <v>11</v>
      </c>
      <c r="F19" s="14" t="n">
        <v>5</v>
      </c>
      <c r="G19" s="44" t="n">
        <f aca="false">SUMIFS('Bulk Pricing'!$E:$E,'Bulk Pricing'!$B:$B,C19,'Bulk Pricing'!$C:$C,D19,'Bulk Pricing'!$D:$D,E19)</f>
        <v>7</v>
      </c>
      <c r="H19" s="35" t="n">
        <f aca="false">IF(OR(F19="",G19=""),"",F19*G19)</f>
        <v>35</v>
      </c>
      <c r="I19" s="33"/>
    </row>
    <row r="20" customFormat="false" ht="15" hidden="false" customHeight="true" outlineLevel="0" collapsed="false">
      <c r="A20" s="32" t="n">
        <v>16</v>
      </c>
      <c r="B20" s="33" t="s">
        <v>81</v>
      </c>
      <c r="C20" s="33" t="s">
        <v>26</v>
      </c>
      <c r="D20" s="34" t="n">
        <v>8</v>
      </c>
      <c r="E20" s="33" t="s">
        <v>11</v>
      </c>
      <c r="F20" s="14" t="n">
        <v>2</v>
      </c>
      <c r="G20" s="44" t="n">
        <f aca="false">SUMIFS('Bulk Pricing'!$E:$E,'Bulk Pricing'!$B:$B,C20,'Bulk Pricing'!$C:$C,D20,'Bulk Pricing'!$D:$D,E20)</f>
        <v>11</v>
      </c>
      <c r="H20" s="35" t="n">
        <f aca="false">IF(OR(F20="",G20=""),"",F20*G20)</f>
        <v>22</v>
      </c>
      <c r="I20" s="33"/>
    </row>
    <row r="21" customFormat="false" ht="15" hidden="false" customHeight="true" outlineLevel="0" collapsed="false">
      <c r="A21" s="32" t="n">
        <v>17</v>
      </c>
      <c r="B21" s="33" t="s">
        <v>82</v>
      </c>
      <c r="C21" s="33" t="s">
        <v>26</v>
      </c>
      <c r="D21" s="34" t="n">
        <v>4</v>
      </c>
      <c r="E21" s="33" t="s">
        <v>11</v>
      </c>
      <c r="F21" s="14" t="n">
        <v>2</v>
      </c>
      <c r="G21" s="44" t="n">
        <f aca="false">SUMIFS('Bulk Pricing'!$E:$E,'Bulk Pricing'!$B:$B,C21,'Bulk Pricing'!$C:$C,D21,'Bulk Pricing'!$D:$D,E21)</f>
        <v>7</v>
      </c>
      <c r="H21" s="35" t="n">
        <f aca="false">IF(OR(F21="",G21=""),"",F21*G21)</f>
        <v>14</v>
      </c>
      <c r="I21" s="33"/>
    </row>
    <row r="22" customFormat="false" ht="15" hidden="false" customHeight="true" outlineLevel="0" collapsed="false">
      <c r="A22" s="32" t="n">
        <v>18</v>
      </c>
      <c r="B22" s="33" t="s">
        <v>85</v>
      </c>
      <c r="C22" s="33" t="s">
        <v>26</v>
      </c>
      <c r="D22" s="34" t="n">
        <v>8</v>
      </c>
      <c r="E22" s="33" t="s">
        <v>11</v>
      </c>
      <c r="F22" s="14" t="n">
        <v>2</v>
      </c>
      <c r="G22" s="44" t="n">
        <f aca="false">SUMIFS('Bulk Pricing'!$E:$E,'Bulk Pricing'!$B:$B,C22,'Bulk Pricing'!$C:$C,D22,'Bulk Pricing'!$D:$D,E22)</f>
        <v>11</v>
      </c>
      <c r="H22" s="35" t="n">
        <f aca="false">IF(OR(F22="",G22=""),"",F22*G22)</f>
        <v>22</v>
      </c>
      <c r="I22" s="33"/>
    </row>
    <row r="23" customFormat="false" ht="15" hidden="false" customHeight="true" outlineLevel="0" collapsed="false">
      <c r="A23" s="32" t="n">
        <v>19</v>
      </c>
      <c r="B23" s="33" t="s">
        <v>77</v>
      </c>
      <c r="C23" s="33" t="s">
        <v>26</v>
      </c>
      <c r="D23" s="34" t="n">
        <v>8</v>
      </c>
      <c r="E23" s="33" t="s">
        <v>11</v>
      </c>
      <c r="F23" s="14" t="n">
        <v>1</v>
      </c>
      <c r="G23" s="44" t="n">
        <f aca="false">SUMIFS('Bulk Pricing'!$E:$E,'Bulk Pricing'!$B:$B,C23,'Bulk Pricing'!$C:$C,D23,'Bulk Pricing'!$D:$D,E23)</f>
        <v>11</v>
      </c>
      <c r="H23" s="35" t="n">
        <f aca="false">IF(OR(F23="",G23=""),"",F23*G23)</f>
        <v>11</v>
      </c>
      <c r="I23" s="33"/>
    </row>
    <row r="24" customFormat="false" ht="15" hidden="false" customHeight="true" outlineLevel="0" collapsed="false">
      <c r="A24" s="32" t="n">
        <v>20</v>
      </c>
      <c r="B24" s="33" t="s">
        <v>82</v>
      </c>
      <c r="C24" s="33" t="s">
        <v>26</v>
      </c>
      <c r="D24" s="34" t="n">
        <v>8</v>
      </c>
      <c r="E24" s="33" t="s">
        <v>11</v>
      </c>
      <c r="F24" s="14" t="n">
        <v>6</v>
      </c>
      <c r="G24" s="44" t="n">
        <f aca="false">SUMIFS('Bulk Pricing'!$E:$E,'Bulk Pricing'!$B:$B,C24,'Bulk Pricing'!$C:$C,D24,'Bulk Pricing'!$D:$D,E24)</f>
        <v>11</v>
      </c>
      <c r="H24" s="35" t="n">
        <f aca="false">IF(OR(F24="",G24=""),"",F24*G24)</f>
        <v>66</v>
      </c>
      <c r="I24" s="33"/>
    </row>
    <row r="25" customFormat="false" ht="15" hidden="false" customHeight="true" outlineLevel="0" collapsed="false">
      <c r="A25" s="32" t="n">
        <v>21</v>
      </c>
      <c r="B25" s="33" t="s">
        <v>77</v>
      </c>
      <c r="C25" s="33" t="s">
        <v>26</v>
      </c>
      <c r="D25" s="34" t="n">
        <v>4</v>
      </c>
      <c r="E25" s="33" t="s">
        <v>11</v>
      </c>
      <c r="F25" s="14" t="n">
        <v>10</v>
      </c>
      <c r="G25" s="44" t="n">
        <f aca="false">SUMIFS('Bulk Pricing'!$E:$E,'Bulk Pricing'!$B:$B,C25,'Bulk Pricing'!$C:$C,D25,'Bulk Pricing'!$D:$D,E25)</f>
        <v>7</v>
      </c>
      <c r="H25" s="35" t="n">
        <f aca="false">IF(OR(F25="",G25=""),"",F25*G25)</f>
        <v>70</v>
      </c>
      <c r="I25" s="33"/>
    </row>
    <row r="26" customFormat="false" ht="15" hidden="false" customHeight="true" outlineLevel="0" collapsed="false">
      <c r="A26" s="32" t="n">
        <v>22</v>
      </c>
      <c r="B26" s="33" t="s">
        <v>77</v>
      </c>
      <c r="C26" s="33" t="s">
        <v>26</v>
      </c>
      <c r="D26" s="34" t="n">
        <v>4</v>
      </c>
      <c r="E26" s="33" t="s">
        <v>11</v>
      </c>
      <c r="F26" s="14" t="n">
        <v>3</v>
      </c>
      <c r="G26" s="44" t="n">
        <f aca="false">SUMIFS('Bulk Pricing'!$E:$E,'Bulk Pricing'!$B:$B,C26,'Bulk Pricing'!$C:$C,D26,'Bulk Pricing'!$D:$D,E26)</f>
        <v>7</v>
      </c>
      <c r="H26" s="35" t="n">
        <f aca="false">IF(OR(F26="",G26=""),"",F26*G26)</f>
        <v>21</v>
      </c>
      <c r="I26" s="33"/>
    </row>
    <row r="27" customFormat="false" ht="15" hidden="false" customHeight="true" outlineLevel="0" collapsed="false">
      <c r="A27" s="32" t="n">
        <v>23</v>
      </c>
      <c r="B27" s="33" t="s">
        <v>80</v>
      </c>
      <c r="C27" s="33" t="s">
        <v>26</v>
      </c>
      <c r="D27" s="34" t="n">
        <v>4</v>
      </c>
      <c r="E27" s="33" t="s">
        <v>11</v>
      </c>
      <c r="F27" s="14" t="n">
        <v>3</v>
      </c>
      <c r="G27" s="44" t="n">
        <f aca="false">SUMIFS('Bulk Pricing'!$E:$E,'Bulk Pricing'!$B:$B,C27,'Bulk Pricing'!$C:$C,D27,'Bulk Pricing'!$D:$D,E27)</f>
        <v>7</v>
      </c>
      <c r="H27" s="35" t="n">
        <f aca="false">IF(OR(F27="",G27=""),"",F27*G27)</f>
        <v>21</v>
      </c>
      <c r="I27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1" width="6"/>
    <col collapsed="false" customWidth="true" hidden="false" outlineLevel="0" max="2" min="2" style="21" width="12"/>
    <col collapsed="false" customWidth="true" hidden="false" outlineLevel="0" max="3" min="3" style="21" width="22"/>
    <col collapsed="false" customWidth="true" hidden="false" outlineLevel="0" max="4" min="4" style="21" width="10"/>
    <col collapsed="false" customWidth="true" hidden="false" outlineLevel="0" max="5" min="5" style="21" width="26"/>
    <col collapsed="false" customWidth="true" hidden="false" outlineLevel="0" max="6" min="6" style="21" width="6"/>
    <col collapsed="false" customWidth="true" hidden="false" outlineLevel="0" max="7" min="7" style="21" width="12"/>
    <col collapsed="false" customWidth="true" hidden="false" outlineLevel="0" max="8" min="8" style="21" width="11"/>
    <col collapsed="false" customWidth="true" hidden="false" outlineLevel="0" max="9" min="9" style="21" width="40"/>
    <col collapsed="false" customWidth="true" hidden="false" outlineLevel="0" max="10" min="10" style="21" width="3"/>
    <col collapsed="false" customWidth="true" hidden="false" outlineLevel="0" max="11" min="11" style="21" width="12"/>
    <col collapsed="false" customWidth="true" hidden="false" outlineLevel="0" max="13" min="13" style="21" width="11"/>
  </cols>
  <sheetData>
    <row r="1" customFormat="false" ht="17.25" hidden="false" customHeight="true" outlineLevel="0" collapsed="false">
      <c r="A1" s="22" t="s">
        <v>86</v>
      </c>
    </row>
    <row r="2" customFormat="false" ht="15" hidden="false" customHeight="true" outlineLevel="0" collapsed="false">
      <c r="A2" s="23" t="s">
        <v>39</v>
      </c>
      <c r="B2" s="23" t="n">
        <f aca="false">SUM(F5:F1000)</f>
        <v>107</v>
      </c>
      <c r="C2" s="25" t="s">
        <v>72</v>
      </c>
      <c r="D2" s="26" t="n">
        <f aca="false">SUM(H5:H1000)</f>
        <v>2144</v>
      </c>
      <c r="E2" s="41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42" t="s">
        <v>75</v>
      </c>
      <c r="L4" s="42" t="s">
        <v>34</v>
      </c>
      <c r="M4" s="42" t="s">
        <v>76</v>
      </c>
    </row>
    <row r="5" customFormat="false" ht="15" hidden="false" customHeight="true" outlineLevel="0" collapsed="false">
      <c r="A5" s="12" t="n">
        <v>1</v>
      </c>
      <c r="B5" s="27" t="s">
        <v>87</v>
      </c>
      <c r="C5" s="27" t="s">
        <v>28</v>
      </c>
      <c r="D5" s="28" t="n">
        <v>4</v>
      </c>
      <c r="E5" s="27" t="s">
        <v>11</v>
      </c>
      <c r="F5" s="14" t="n">
        <v>17</v>
      </c>
      <c r="G5" s="43" t="n">
        <f aca="false">SUMIFS('Bulk Pricing'!$E:$E,'Bulk Pricing'!$B:$B,C5,'Bulk Pricing'!$C:$C,D5,'Bulk Pricing'!$D:$D,E5)</f>
        <v>12</v>
      </c>
      <c r="H5" s="30" t="n">
        <f aca="false">IF(OR(F5="",G5=""),"",F5*G5)</f>
        <v>204</v>
      </c>
      <c r="I5" s="27"/>
      <c r="K5" s="27" t="s">
        <v>78</v>
      </c>
      <c r="L5" s="12" t="n">
        <f aca="false">SUMIFS($F$5:$F$1000,$B$5:$B$1000,K5)</f>
        <v>2</v>
      </c>
      <c r="M5" s="30" t="n">
        <f aca="false">SUMIFS($H$5:$H$1000,$B$5:$B$1000,K5)</f>
        <v>48</v>
      </c>
    </row>
    <row r="6" customFormat="false" ht="15" hidden="false" customHeight="true" outlineLevel="0" collapsed="false">
      <c r="A6" s="12" t="n">
        <v>2</v>
      </c>
      <c r="B6" s="27" t="s">
        <v>82</v>
      </c>
      <c r="C6" s="27" t="s">
        <v>28</v>
      </c>
      <c r="D6" s="28" t="n">
        <v>4</v>
      </c>
      <c r="E6" s="27" t="s">
        <v>11</v>
      </c>
      <c r="F6" s="14" t="n">
        <v>4</v>
      </c>
      <c r="G6" s="43" t="n">
        <f aca="false">SUMIFS('Bulk Pricing'!$E:$E,'Bulk Pricing'!$B:$B,C6,'Bulk Pricing'!$C:$C,D6,'Bulk Pricing'!$D:$D,E6)</f>
        <v>12</v>
      </c>
      <c r="H6" s="30" t="n">
        <f aca="false">IF(OR(F6="",G6=""),"",F6*G6)</f>
        <v>48</v>
      </c>
      <c r="I6" s="27"/>
      <c r="K6" s="27" t="s">
        <v>88</v>
      </c>
      <c r="L6" s="12" t="n">
        <f aca="false">SUMIFS($F$5:$F$1000,$B$5:$B$1000,K6)</f>
        <v>11</v>
      </c>
      <c r="M6" s="30" t="n">
        <f aca="false">SUMIFS($H$5:$H$1000,$B$5:$B$1000,K6)</f>
        <v>440</v>
      </c>
    </row>
    <row r="7" customFormat="false" ht="15" hidden="false" customHeight="true" outlineLevel="0" collapsed="false">
      <c r="A7" s="12" t="n">
        <v>3</v>
      </c>
      <c r="B7" s="27" t="s">
        <v>77</v>
      </c>
      <c r="C7" s="27" t="s">
        <v>28</v>
      </c>
      <c r="D7" s="28" t="n">
        <v>4</v>
      </c>
      <c r="E7" s="27" t="s">
        <v>11</v>
      </c>
      <c r="F7" s="14" t="n">
        <v>1</v>
      </c>
      <c r="G7" s="43" t="n">
        <f aca="false">SUMIFS('Bulk Pricing'!$E:$E,'Bulk Pricing'!$B:$B,C7,'Bulk Pricing'!$C:$C,D7,'Bulk Pricing'!$D:$D,E7)</f>
        <v>12</v>
      </c>
      <c r="H7" s="30" t="n">
        <f aca="false">IF(OR(F7="",G7=""),"",F7*G7)</f>
        <v>12</v>
      </c>
      <c r="I7" s="27"/>
      <c r="K7" s="27" t="s">
        <v>80</v>
      </c>
      <c r="L7" s="12" t="n">
        <f aca="false">SUMIFS($F$5:$F$1000,$B$5:$B$1000,K7)</f>
        <v>5</v>
      </c>
      <c r="M7" s="30" t="n">
        <f aca="false">SUMIFS($H$5:$H$1000,$B$5:$B$1000,K7)</f>
        <v>96</v>
      </c>
    </row>
    <row r="8" customFormat="false" ht="15" hidden="false" customHeight="true" outlineLevel="0" collapsed="false">
      <c r="A8" s="12" t="n">
        <v>4</v>
      </c>
      <c r="B8" s="27" t="s">
        <v>87</v>
      </c>
      <c r="C8" s="27" t="s">
        <v>28</v>
      </c>
      <c r="D8" s="28" t="n">
        <v>8</v>
      </c>
      <c r="E8" s="27" t="s">
        <v>11</v>
      </c>
      <c r="F8" s="14" t="n">
        <v>19</v>
      </c>
      <c r="G8" s="43" t="n">
        <f aca="false">SUMIFS('Bulk Pricing'!$E:$E,'Bulk Pricing'!$B:$B,C8,'Bulk Pricing'!$C:$C,D8,'Bulk Pricing'!$D:$D,E8)</f>
        <v>24</v>
      </c>
      <c r="H8" s="30" t="n">
        <f aca="false">IF(OR(F8="",G8=""),"",F8*G8)</f>
        <v>456</v>
      </c>
      <c r="I8" s="27"/>
      <c r="K8" s="27" t="s">
        <v>87</v>
      </c>
      <c r="L8" s="12" t="n">
        <f aca="false">SUMIFS($F$5:$F$1000,$B$5:$B$1000,K8)</f>
        <v>37</v>
      </c>
      <c r="M8" s="30" t="n">
        <f aca="false">SUMIFS($H$5:$H$1000,$B$5:$B$1000,K8)</f>
        <v>684</v>
      </c>
    </row>
    <row r="9" customFormat="false" ht="15" hidden="false" customHeight="true" outlineLevel="0" collapsed="false">
      <c r="A9" s="12" t="n">
        <v>5</v>
      </c>
      <c r="B9" s="27" t="s">
        <v>87</v>
      </c>
      <c r="C9" s="27" t="s">
        <v>28</v>
      </c>
      <c r="D9" s="28" t="n">
        <v>8</v>
      </c>
      <c r="E9" s="27" t="s">
        <v>10</v>
      </c>
      <c r="F9" s="14" t="n">
        <v>1</v>
      </c>
      <c r="G9" s="43" t="n">
        <f aca="false">SUMIFS('Bulk Pricing'!$E:$E,'Bulk Pricing'!$B:$B,C9,'Bulk Pricing'!$C:$C,D9,'Bulk Pricing'!$D:$D,E9)</f>
        <v>24</v>
      </c>
      <c r="H9" s="30" t="n">
        <f aca="false">IF(OR(F9="",G9=""),"",F9*G9)</f>
        <v>24</v>
      </c>
      <c r="I9" s="27"/>
      <c r="K9" s="27" t="s">
        <v>77</v>
      </c>
      <c r="L9" s="12" t="n">
        <f aca="false">SUMIFS($F$5:$F$1000,$B$5:$B$1000,K9)</f>
        <v>29</v>
      </c>
      <c r="M9" s="30" t="n">
        <f aca="false">SUMIFS($H$5:$H$1000,$B$5:$B$1000,K9)</f>
        <v>480</v>
      </c>
    </row>
    <row r="10" customFormat="false" ht="15" hidden="false" customHeight="true" outlineLevel="0" collapsed="false">
      <c r="A10" s="12" t="n">
        <v>6</v>
      </c>
      <c r="B10" s="27" t="s">
        <v>77</v>
      </c>
      <c r="C10" s="27" t="s">
        <v>28</v>
      </c>
      <c r="D10" s="28" t="n">
        <v>8</v>
      </c>
      <c r="E10" s="27" t="s">
        <v>10</v>
      </c>
      <c r="F10" s="14" t="n">
        <v>2</v>
      </c>
      <c r="G10" s="43" t="n">
        <f aca="false">SUMIFS('Bulk Pricing'!$E:$E,'Bulk Pricing'!$B:$B,C10,'Bulk Pricing'!$C:$C,D10,'Bulk Pricing'!$D:$D,E10)</f>
        <v>24</v>
      </c>
      <c r="H10" s="30" t="n">
        <f aca="false">IF(OR(F10="",G10=""),"",F10*G10)</f>
        <v>48</v>
      </c>
      <c r="I10" s="27"/>
      <c r="K10" s="27" t="s">
        <v>82</v>
      </c>
      <c r="L10" s="12" t="n">
        <f aca="false">SUMIFS($F$5:$F$1000,$B$5:$B$1000,K10)</f>
        <v>21</v>
      </c>
      <c r="M10" s="30" t="n">
        <f aca="false">SUMIFS($H$5:$H$1000,$B$5:$B$1000,K10)</f>
        <v>348</v>
      </c>
    </row>
    <row r="11" customFormat="false" ht="15" hidden="false" customHeight="true" outlineLevel="0" collapsed="false">
      <c r="A11" s="12" t="n">
        <v>7</v>
      </c>
      <c r="B11" s="27" t="s">
        <v>78</v>
      </c>
      <c r="C11" s="27" t="s">
        <v>28</v>
      </c>
      <c r="D11" s="28" t="n">
        <v>8</v>
      </c>
      <c r="E11" s="27" t="s">
        <v>10</v>
      </c>
      <c r="F11" s="14" t="n">
        <v>2</v>
      </c>
      <c r="G11" s="43" t="n">
        <f aca="false">SUMIFS('Bulk Pricing'!$E:$E,'Bulk Pricing'!$B:$B,C11,'Bulk Pricing'!$C:$C,D11,'Bulk Pricing'!$D:$D,E11)</f>
        <v>24</v>
      </c>
      <c r="H11" s="30" t="n">
        <f aca="false">IF(OR(F11="",G11=""),"",F11*G11)</f>
        <v>48</v>
      </c>
      <c r="I11" s="27"/>
      <c r="K11" s="27" t="s">
        <v>85</v>
      </c>
      <c r="L11" s="12" t="n">
        <f aca="false">SUMIFS($F$5:$F$1000,$B$5:$B$1000,K11)</f>
        <v>2</v>
      </c>
      <c r="M11" s="30" t="n">
        <f aca="false">SUMIFS($H$5:$H$1000,$B$5:$B$1000,K11)</f>
        <v>48</v>
      </c>
    </row>
    <row r="12" customFormat="false" ht="15" hidden="false" customHeight="true" outlineLevel="0" collapsed="false">
      <c r="A12" s="12" t="n">
        <v>8</v>
      </c>
      <c r="B12" s="27" t="s">
        <v>77</v>
      </c>
      <c r="C12" s="27" t="s">
        <v>28</v>
      </c>
      <c r="D12" s="28" t="n">
        <v>4</v>
      </c>
      <c r="E12" s="27" t="s">
        <v>10</v>
      </c>
      <c r="F12" s="14" t="n">
        <v>6</v>
      </c>
      <c r="G12" s="43" t="n">
        <f aca="false">SUMIFS('Bulk Pricing'!$E:$E,'Bulk Pricing'!$B:$B,C12,'Bulk Pricing'!$C:$C,D12,'Bulk Pricing'!$D:$D,E12)</f>
        <v>12</v>
      </c>
      <c r="H12" s="30" t="n">
        <f aca="false">IF(OR(F12="",G12=""),"",F12*G12)</f>
        <v>72</v>
      </c>
      <c r="I12" s="27"/>
    </row>
    <row r="13" customFormat="false" ht="15" hidden="false" customHeight="true" outlineLevel="0" collapsed="false">
      <c r="A13" s="32" t="n">
        <v>9</v>
      </c>
      <c r="B13" s="33" t="s">
        <v>77</v>
      </c>
      <c r="C13" s="33" t="s">
        <v>29</v>
      </c>
      <c r="D13" s="34" t="n">
        <v>4</v>
      </c>
      <c r="E13" s="33" t="s">
        <v>11</v>
      </c>
      <c r="F13" s="14" t="n">
        <v>8</v>
      </c>
      <c r="G13" s="44" t="n">
        <f aca="false">SUMIFS('Bulk Pricing'!$E:$E,'Bulk Pricing'!$B:$B,C13,'Bulk Pricing'!$C:$C,D13,'Bulk Pricing'!$D:$D,E13)</f>
        <v>12</v>
      </c>
      <c r="H13" s="35" t="n">
        <f aca="false">IF(OR(F13="",G13=""),"",F13*G13)</f>
        <v>96</v>
      </c>
      <c r="I13" s="33"/>
    </row>
    <row r="14" customFormat="false" ht="15" hidden="false" customHeight="true" outlineLevel="0" collapsed="false">
      <c r="A14" s="32" t="n">
        <v>10</v>
      </c>
      <c r="B14" s="33" t="s">
        <v>88</v>
      </c>
      <c r="C14" s="33" t="s">
        <v>29</v>
      </c>
      <c r="D14" s="34" t="n">
        <v>16</v>
      </c>
      <c r="E14" s="33" t="s">
        <v>11</v>
      </c>
      <c r="F14" s="14" t="n">
        <v>8</v>
      </c>
      <c r="G14" s="44" t="n">
        <f aca="false">SUMIFS('Bulk Pricing'!$E:$E,'Bulk Pricing'!$B:$B,C14,'Bulk Pricing'!$C:$C,D14,'Bulk Pricing'!$D:$D,E14)</f>
        <v>50.5</v>
      </c>
      <c r="H14" s="35" t="n">
        <f aca="false">IF(OR(F14="",G14=""),"",F14*G14)</f>
        <v>404</v>
      </c>
      <c r="I14" s="33"/>
    </row>
    <row r="15" customFormat="false" ht="15" hidden="false" customHeight="true" outlineLevel="0" collapsed="false">
      <c r="A15" s="32" t="n">
        <v>11</v>
      </c>
      <c r="B15" s="33" t="s">
        <v>77</v>
      </c>
      <c r="C15" s="33" t="s">
        <v>29</v>
      </c>
      <c r="D15" s="34" t="n">
        <v>8</v>
      </c>
      <c r="E15" s="33" t="s">
        <v>11</v>
      </c>
      <c r="F15" s="14" t="n">
        <v>8</v>
      </c>
      <c r="G15" s="44" t="n">
        <f aca="false">SUMIFS('Bulk Pricing'!$E:$E,'Bulk Pricing'!$B:$B,C15,'Bulk Pricing'!$C:$C,D15,'Bulk Pricing'!$D:$D,E15)</f>
        <v>24</v>
      </c>
      <c r="H15" s="35" t="n">
        <f aca="false">IF(OR(F15="",G15=""),"",F15*G15)</f>
        <v>192</v>
      </c>
      <c r="I15" s="33"/>
    </row>
    <row r="16" customFormat="false" ht="15" hidden="false" customHeight="true" outlineLevel="0" collapsed="false">
      <c r="A16" s="32" t="n">
        <v>12</v>
      </c>
      <c r="B16" s="33" t="s">
        <v>82</v>
      </c>
      <c r="C16" s="33" t="s">
        <v>29</v>
      </c>
      <c r="D16" s="34" t="n">
        <v>8</v>
      </c>
      <c r="E16" s="33" t="s">
        <v>11</v>
      </c>
      <c r="F16" s="14" t="n">
        <v>8</v>
      </c>
      <c r="G16" s="44" t="n">
        <f aca="false">SUMIFS('Bulk Pricing'!$E:$E,'Bulk Pricing'!$B:$B,C16,'Bulk Pricing'!$C:$C,D16,'Bulk Pricing'!$D:$D,E16)</f>
        <v>24</v>
      </c>
      <c r="H16" s="35" t="n">
        <f aca="false">IF(OR(F16="",G16=""),"",F16*G16)</f>
        <v>192</v>
      </c>
      <c r="I16" s="33"/>
    </row>
    <row r="17" customFormat="false" ht="15" hidden="false" customHeight="true" outlineLevel="0" collapsed="false">
      <c r="A17" s="32" t="n">
        <v>13</v>
      </c>
      <c r="B17" s="33" t="s">
        <v>85</v>
      </c>
      <c r="C17" s="33" t="s">
        <v>29</v>
      </c>
      <c r="D17" s="34" t="n">
        <v>8</v>
      </c>
      <c r="E17" s="33" t="s">
        <v>11</v>
      </c>
      <c r="F17" s="14" t="n">
        <v>2</v>
      </c>
      <c r="G17" s="44" t="n">
        <f aca="false">SUMIFS('Bulk Pricing'!$E:$E,'Bulk Pricing'!$B:$B,C17,'Bulk Pricing'!$C:$C,D17,'Bulk Pricing'!$D:$D,E17)</f>
        <v>24</v>
      </c>
      <c r="H17" s="35" t="n">
        <f aca="false">IF(OR(F17="",G17=""),"",F17*G17)</f>
        <v>48</v>
      </c>
      <c r="I17" s="33"/>
    </row>
    <row r="18" customFormat="false" ht="15" hidden="false" customHeight="true" outlineLevel="0" collapsed="false">
      <c r="A18" s="32" t="n">
        <v>14</v>
      </c>
      <c r="B18" s="33" t="s">
        <v>88</v>
      </c>
      <c r="C18" s="33" t="s">
        <v>29</v>
      </c>
      <c r="D18" s="34" t="n">
        <v>4</v>
      </c>
      <c r="E18" s="33" t="s">
        <v>11</v>
      </c>
      <c r="F18" s="14" t="n">
        <v>2</v>
      </c>
      <c r="G18" s="44" t="n">
        <f aca="false">SUMIFS('Bulk Pricing'!$E:$E,'Bulk Pricing'!$B:$B,C18,'Bulk Pricing'!$C:$C,D18,'Bulk Pricing'!$D:$D,E18)</f>
        <v>12</v>
      </c>
      <c r="H18" s="35" t="n">
        <f aca="false">IF(OR(F18="",G18=""),"",F18*G18)</f>
        <v>24</v>
      </c>
      <c r="I18" s="33"/>
    </row>
    <row r="19" customFormat="false" ht="15" hidden="false" customHeight="true" outlineLevel="0" collapsed="false">
      <c r="A19" s="32" t="n">
        <v>15</v>
      </c>
      <c r="B19" s="33" t="s">
        <v>82</v>
      </c>
      <c r="C19" s="33" t="s">
        <v>29</v>
      </c>
      <c r="D19" s="34" t="n">
        <v>4</v>
      </c>
      <c r="E19" s="33" t="s">
        <v>11</v>
      </c>
      <c r="F19" s="14" t="n">
        <v>7</v>
      </c>
      <c r="G19" s="44" t="n">
        <f aca="false">SUMIFS('Bulk Pricing'!$E:$E,'Bulk Pricing'!$B:$B,C19,'Bulk Pricing'!$C:$C,D19,'Bulk Pricing'!$D:$D,E19)</f>
        <v>12</v>
      </c>
      <c r="H19" s="35" t="n">
        <f aca="false">IF(OR(F19="",G19=""),"",F19*G19)</f>
        <v>84</v>
      </c>
      <c r="I19" s="33"/>
    </row>
    <row r="20" customFormat="false" ht="15" hidden="false" customHeight="true" outlineLevel="0" collapsed="false">
      <c r="A20" s="32" t="n">
        <v>16</v>
      </c>
      <c r="B20" s="33" t="s">
        <v>80</v>
      </c>
      <c r="C20" s="33" t="s">
        <v>29</v>
      </c>
      <c r="D20" s="34" t="n">
        <v>8</v>
      </c>
      <c r="E20" s="33" t="s">
        <v>11</v>
      </c>
      <c r="F20" s="14" t="n">
        <v>3</v>
      </c>
      <c r="G20" s="44" t="n">
        <f aca="false">SUMIFS('Bulk Pricing'!$E:$E,'Bulk Pricing'!$B:$B,C20,'Bulk Pricing'!$C:$C,D20,'Bulk Pricing'!$D:$D,E20)</f>
        <v>24</v>
      </c>
      <c r="H20" s="35" t="n">
        <f aca="false">IF(OR(F20="",G20=""),"",F20*G20)</f>
        <v>72</v>
      </c>
      <c r="I20" s="33"/>
    </row>
    <row r="21" customFormat="false" ht="15" hidden="false" customHeight="true" outlineLevel="0" collapsed="false">
      <c r="A21" s="32" t="n">
        <v>17</v>
      </c>
      <c r="B21" s="33" t="s">
        <v>77</v>
      </c>
      <c r="C21" s="33" t="s">
        <v>29</v>
      </c>
      <c r="D21" s="34" t="n">
        <v>4</v>
      </c>
      <c r="E21" s="33" t="s">
        <v>10</v>
      </c>
      <c r="F21" s="14" t="n">
        <v>3</v>
      </c>
      <c r="G21" s="44" t="n">
        <f aca="false">SUMIFS('Bulk Pricing'!$E:$E,'Bulk Pricing'!$B:$B,C21,'Bulk Pricing'!$C:$C,D21,'Bulk Pricing'!$D:$D,E21)</f>
        <v>12</v>
      </c>
      <c r="H21" s="35" t="n">
        <f aca="false">IF(OR(F21="",G21=""),"",F21*G21)</f>
        <v>36</v>
      </c>
      <c r="I21" s="33"/>
    </row>
    <row r="22" customFormat="false" ht="15" hidden="false" customHeight="true" outlineLevel="0" collapsed="false">
      <c r="A22" s="32" t="n">
        <v>18</v>
      </c>
      <c r="B22" s="33" t="s">
        <v>77</v>
      </c>
      <c r="C22" s="33" t="s">
        <v>29</v>
      </c>
      <c r="D22" s="34" t="n">
        <v>8</v>
      </c>
      <c r="E22" s="33" t="s">
        <v>10</v>
      </c>
      <c r="F22" s="14" t="n">
        <v>1</v>
      </c>
      <c r="G22" s="44" t="n">
        <f aca="false">SUMIFS('Bulk Pricing'!$E:$E,'Bulk Pricing'!$B:$B,C22,'Bulk Pricing'!$C:$C,D22,'Bulk Pricing'!$D:$D,E22)</f>
        <v>24</v>
      </c>
      <c r="H22" s="35" t="n">
        <f aca="false">IF(OR(F22="",G22=""),"",F22*G22)</f>
        <v>24</v>
      </c>
      <c r="I22" s="33"/>
    </row>
    <row r="23" customFormat="false" ht="15" hidden="false" customHeight="true" outlineLevel="0" collapsed="false">
      <c r="A23" s="32" t="n">
        <v>19</v>
      </c>
      <c r="B23" s="33" t="s">
        <v>80</v>
      </c>
      <c r="C23" s="33" t="s">
        <v>29</v>
      </c>
      <c r="D23" s="34" t="n">
        <v>4</v>
      </c>
      <c r="E23" s="33" t="s">
        <v>10</v>
      </c>
      <c r="F23" s="14" t="n">
        <v>2</v>
      </c>
      <c r="G23" s="44" t="n">
        <f aca="false">SUMIFS('Bulk Pricing'!$E:$E,'Bulk Pricing'!$B:$B,C23,'Bulk Pricing'!$C:$C,D23,'Bulk Pricing'!$D:$D,E23)</f>
        <v>12</v>
      </c>
      <c r="H23" s="35" t="n">
        <f aca="false">IF(OR(F23="",G23=""),"",F23*G23)</f>
        <v>24</v>
      </c>
      <c r="I23" s="33"/>
    </row>
    <row r="24" customFormat="false" ht="15" hidden="false" customHeight="true" outlineLevel="0" collapsed="false">
      <c r="A24" s="32" t="n">
        <v>20</v>
      </c>
      <c r="B24" s="33" t="s">
        <v>88</v>
      </c>
      <c r="C24" s="33" t="s">
        <v>29</v>
      </c>
      <c r="D24" s="34" t="n">
        <v>4</v>
      </c>
      <c r="E24" s="33" t="s">
        <v>10</v>
      </c>
      <c r="F24" s="14" t="n">
        <v>1</v>
      </c>
      <c r="G24" s="44" t="n">
        <f aca="false">SUMIFS('Bulk Pricing'!$E:$E,'Bulk Pricing'!$B:$B,C24,'Bulk Pricing'!$C:$C,D24,'Bulk Pricing'!$D:$D,E24)</f>
        <v>12</v>
      </c>
      <c r="H24" s="35" t="n">
        <f aca="false">IF(OR(F24="",G24=""),"",F24*G24)</f>
        <v>12</v>
      </c>
      <c r="I24" s="33"/>
    </row>
    <row r="25" customFormat="false" ht="15" hidden="false" customHeight="true" outlineLevel="0" collapsed="false">
      <c r="A25" s="32" t="n">
        <v>21</v>
      </c>
      <c r="B25" s="33" t="s">
        <v>82</v>
      </c>
      <c r="C25" s="33" t="s">
        <v>29</v>
      </c>
      <c r="D25" s="34" t="n">
        <v>4</v>
      </c>
      <c r="E25" s="33" t="s">
        <v>10</v>
      </c>
      <c r="F25" s="14" t="n">
        <v>2</v>
      </c>
      <c r="G25" s="44" t="n">
        <f aca="false">SUMIFS('Bulk Pricing'!$E:$E,'Bulk Pricing'!$B:$B,C25,'Bulk Pricing'!$C:$C,D25,'Bulk Pricing'!$D:$D,E25)</f>
        <v>12</v>
      </c>
      <c r="H25" s="35" t="n">
        <f aca="false">IF(OR(F25="",G25=""),"",F25*G25)</f>
        <v>24</v>
      </c>
      <c r="I25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1" width="6"/>
    <col collapsed="false" customWidth="true" hidden="false" outlineLevel="0" max="2" min="2" style="21" width="12"/>
    <col collapsed="false" customWidth="true" hidden="false" outlineLevel="0" max="3" min="3" style="21" width="22"/>
    <col collapsed="false" customWidth="true" hidden="false" outlineLevel="0" max="4" min="4" style="21" width="10"/>
    <col collapsed="false" customWidth="true" hidden="false" outlineLevel="0" max="5" min="5" style="21" width="26"/>
    <col collapsed="false" customWidth="true" hidden="false" outlineLevel="0" max="6" min="6" style="21" width="6"/>
    <col collapsed="false" customWidth="true" hidden="false" outlineLevel="0" max="7" min="7" style="21" width="12"/>
    <col collapsed="false" customWidth="true" hidden="false" outlineLevel="0" max="8" min="8" style="21" width="11"/>
    <col collapsed="false" customWidth="true" hidden="false" outlineLevel="0" max="9" min="9" style="21" width="40"/>
    <col collapsed="false" customWidth="true" hidden="false" outlineLevel="0" max="10" min="10" style="21" width="3"/>
    <col collapsed="false" customWidth="true" hidden="false" outlineLevel="0" max="11" min="11" style="21" width="12"/>
    <col collapsed="false" customWidth="true" hidden="false" outlineLevel="0" max="13" min="13" style="21" width="11"/>
  </cols>
  <sheetData>
    <row r="1" customFormat="false" ht="17.25" hidden="false" customHeight="true" outlineLevel="0" collapsed="false">
      <c r="A1" s="22" t="s">
        <v>89</v>
      </c>
    </row>
    <row r="2" customFormat="false" ht="15" hidden="false" customHeight="true" outlineLevel="0" collapsed="false">
      <c r="A2" s="23" t="s">
        <v>39</v>
      </c>
      <c r="B2" s="23" t="n">
        <f aca="false">SUM(F5:F1000)</f>
        <v>56</v>
      </c>
      <c r="C2" s="25" t="s">
        <v>72</v>
      </c>
      <c r="D2" s="26" t="n">
        <f aca="false">SUM(H5:H1000)</f>
        <v>1549</v>
      </c>
      <c r="E2" s="41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42" t="s">
        <v>75</v>
      </c>
      <c r="L4" s="42" t="s">
        <v>34</v>
      </c>
      <c r="M4" s="42" t="s">
        <v>76</v>
      </c>
    </row>
    <row r="5" customFormat="false" ht="15" hidden="false" customHeight="true" outlineLevel="0" collapsed="false">
      <c r="A5" s="12" t="n">
        <v>1</v>
      </c>
      <c r="B5" s="27" t="s">
        <v>87</v>
      </c>
      <c r="C5" s="27" t="s">
        <v>30</v>
      </c>
      <c r="D5" s="28" t="n">
        <v>4</v>
      </c>
      <c r="E5" s="27" t="s">
        <v>11</v>
      </c>
      <c r="F5" s="14" t="n">
        <v>3</v>
      </c>
      <c r="G5" s="43" t="n">
        <f aca="false">SUMIFS('Bulk Pricing'!$E:$E,'Bulk Pricing'!$B:$B,C5,'Bulk Pricing'!$C:$C,D5,'Bulk Pricing'!$D:$D,E5)</f>
        <v>13</v>
      </c>
      <c r="H5" s="30" t="n">
        <f aca="false">IF(OR(F5="",G5=""),"",F5*G5)</f>
        <v>39</v>
      </c>
      <c r="I5" s="27"/>
      <c r="K5" s="27" t="s">
        <v>88</v>
      </c>
      <c r="L5" s="12" t="n">
        <f aca="false">SUMIFS($F$5:$F$1000,$B$5:$B$1000,K5)</f>
        <v>1</v>
      </c>
      <c r="M5" s="30" t="n">
        <f aca="false">SUMIFS($H$5:$H$1000,$B$5:$B$1000,K5)</f>
        <v>13</v>
      </c>
    </row>
    <row r="6" customFormat="false" ht="15" hidden="false" customHeight="true" outlineLevel="0" collapsed="false">
      <c r="A6" s="12" t="n">
        <v>2</v>
      </c>
      <c r="B6" s="27" t="s">
        <v>87</v>
      </c>
      <c r="C6" s="27" t="s">
        <v>30</v>
      </c>
      <c r="D6" s="28" t="n">
        <v>8</v>
      </c>
      <c r="E6" s="27" t="s">
        <v>11</v>
      </c>
      <c r="F6" s="14" t="n">
        <v>2</v>
      </c>
      <c r="G6" s="43" t="n">
        <f aca="false">SUMIFS('Bulk Pricing'!$E:$E,'Bulk Pricing'!$B:$B,C6,'Bulk Pricing'!$C:$C,D6,'Bulk Pricing'!$D:$D,E6)</f>
        <v>26</v>
      </c>
      <c r="H6" s="30" t="n">
        <f aca="false">IF(OR(F6="",G6=""),"",F6*G6)</f>
        <v>52</v>
      </c>
      <c r="I6" s="27"/>
      <c r="K6" s="27" t="s">
        <v>90</v>
      </c>
      <c r="L6" s="12" t="n">
        <f aca="false">SUMIFS($F$5:$F$1000,$B$5:$B$1000,K6)</f>
        <v>2</v>
      </c>
      <c r="M6" s="30" t="n">
        <f aca="false">SUMIFS($H$5:$H$1000,$B$5:$B$1000,K6)</f>
        <v>55</v>
      </c>
    </row>
    <row r="7" customFormat="false" ht="15" hidden="false" customHeight="true" outlineLevel="0" collapsed="false">
      <c r="A7" s="12" t="n">
        <v>3</v>
      </c>
      <c r="B7" s="27" t="s">
        <v>77</v>
      </c>
      <c r="C7" s="27" t="s">
        <v>30</v>
      </c>
      <c r="D7" s="28" t="n">
        <v>16</v>
      </c>
      <c r="E7" s="27" t="s">
        <v>11</v>
      </c>
      <c r="F7" s="14" t="n">
        <v>9</v>
      </c>
      <c r="G7" s="43" t="n">
        <f aca="false">SUMIFS('Bulk Pricing'!$E:$E,'Bulk Pricing'!$B:$B,C7,'Bulk Pricing'!$C:$C,D7,'Bulk Pricing'!$D:$D,E7)</f>
        <v>54.5</v>
      </c>
      <c r="H7" s="30" t="n">
        <f aca="false">IF(OR(F7="",G7=""),"",F7*G7)</f>
        <v>490.5</v>
      </c>
      <c r="I7" s="27"/>
      <c r="K7" s="27" t="s">
        <v>80</v>
      </c>
      <c r="L7" s="12" t="n">
        <f aca="false">SUMIFS($F$5:$F$1000,$B$5:$B$1000,K7)</f>
        <v>8</v>
      </c>
      <c r="M7" s="30" t="n">
        <f aca="false">SUMIFS($H$5:$H$1000,$B$5:$B$1000,K7)</f>
        <v>157.5</v>
      </c>
    </row>
    <row r="8" customFormat="false" ht="15" hidden="false" customHeight="true" outlineLevel="0" collapsed="false">
      <c r="A8" s="12" t="n">
        <v>4</v>
      </c>
      <c r="B8" s="27" t="s">
        <v>77</v>
      </c>
      <c r="C8" s="27" t="s">
        <v>30</v>
      </c>
      <c r="D8" s="28" t="n">
        <v>8</v>
      </c>
      <c r="E8" s="27" t="s">
        <v>11</v>
      </c>
      <c r="F8" s="14" t="n">
        <v>1</v>
      </c>
      <c r="G8" s="43" t="n">
        <f aca="false">SUMIFS('Bulk Pricing'!$E:$E,'Bulk Pricing'!$B:$B,C8,'Bulk Pricing'!$C:$C,D8,'Bulk Pricing'!$D:$D,E8)</f>
        <v>26</v>
      </c>
      <c r="H8" s="30" t="n">
        <f aca="false">IF(OR(F8="",G8=""),"",F8*G8)</f>
        <v>26</v>
      </c>
      <c r="I8" s="27"/>
      <c r="K8" s="27" t="s">
        <v>87</v>
      </c>
      <c r="L8" s="12" t="n">
        <f aca="false">SUMIFS($F$5:$F$1000,$B$5:$B$1000,K8)</f>
        <v>11</v>
      </c>
      <c r="M8" s="30" t="n">
        <f aca="false">SUMIFS($H$5:$H$1000,$B$5:$B$1000,K8)</f>
        <v>346</v>
      </c>
    </row>
    <row r="9" customFormat="false" ht="15" hidden="false" customHeight="true" outlineLevel="0" collapsed="false">
      <c r="A9" s="12" t="n">
        <v>5</v>
      </c>
      <c r="B9" s="27" t="s">
        <v>77</v>
      </c>
      <c r="C9" s="27" t="s">
        <v>30</v>
      </c>
      <c r="D9" s="28" t="n">
        <v>4</v>
      </c>
      <c r="E9" s="27" t="s">
        <v>11</v>
      </c>
      <c r="F9" s="14" t="n">
        <v>1</v>
      </c>
      <c r="G9" s="43" t="n">
        <f aca="false">SUMIFS('Bulk Pricing'!$E:$E,'Bulk Pricing'!$B:$B,C9,'Bulk Pricing'!$C:$C,D9,'Bulk Pricing'!$D:$D,E9)</f>
        <v>13</v>
      </c>
      <c r="H9" s="30" t="n">
        <f aca="false">IF(OR(F9="",G9=""),"",F9*G9)</f>
        <v>13</v>
      </c>
      <c r="I9" s="27"/>
      <c r="K9" s="27" t="s">
        <v>84</v>
      </c>
      <c r="L9" s="12" t="n">
        <f aca="false">SUMIFS($F$5:$F$1000,$B$5:$B$1000,K9)</f>
        <v>1</v>
      </c>
      <c r="M9" s="30" t="n">
        <f aca="false">SUMIFS($H$5:$H$1000,$B$5:$B$1000,K9)</f>
        <v>26</v>
      </c>
    </row>
    <row r="10" customFormat="false" ht="15" hidden="false" customHeight="true" outlineLevel="0" collapsed="false">
      <c r="A10" s="12" t="n">
        <v>6</v>
      </c>
      <c r="B10" s="27" t="s">
        <v>82</v>
      </c>
      <c r="C10" s="27" t="s">
        <v>30</v>
      </c>
      <c r="D10" s="28" t="n">
        <v>4</v>
      </c>
      <c r="E10" s="27" t="s">
        <v>11</v>
      </c>
      <c r="F10" s="14" t="n">
        <v>4</v>
      </c>
      <c r="G10" s="43" t="n">
        <f aca="false">SUMIFS('Bulk Pricing'!$E:$E,'Bulk Pricing'!$B:$B,C10,'Bulk Pricing'!$C:$C,D10,'Bulk Pricing'!$D:$D,E10)</f>
        <v>13</v>
      </c>
      <c r="H10" s="30" t="n">
        <f aca="false">IF(OR(F10="",G10=""),"",F10*G10)</f>
        <v>52</v>
      </c>
      <c r="I10" s="27"/>
      <c r="K10" s="27" t="s">
        <v>77</v>
      </c>
      <c r="L10" s="12" t="n">
        <f aca="false">SUMIFS($F$5:$F$1000,$B$5:$B$1000,K10)</f>
        <v>18</v>
      </c>
      <c r="M10" s="30" t="n">
        <f aca="false">SUMIFS($H$5:$H$1000,$B$5:$B$1000,K10)</f>
        <v>645</v>
      </c>
    </row>
    <row r="11" customFormat="false" ht="15" hidden="false" customHeight="true" outlineLevel="0" collapsed="false">
      <c r="A11" s="12" t="n">
        <v>7</v>
      </c>
      <c r="B11" s="27" t="s">
        <v>82</v>
      </c>
      <c r="C11" s="27" t="s">
        <v>30</v>
      </c>
      <c r="D11" s="28" t="n">
        <v>8</v>
      </c>
      <c r="E11" s="27" t="s">
        <v>11</v>
      </c>
      <c r="F11" s="14" t="n">
        <v>6</v>
      </c>
      <c r="G11" s="43" t="n">
        <f aca="false">SUMIFS('Bulk Pricing'!$E:$E,'Bulk Pricing'!$B:$B,C11,'Bulk Pricing'!$C:$C,D11,'Bulk Pricing'!$D:$D,E11)</f>
        <v>26</v>
      </c>
      <c r="H11" s="30" t="n">
        <f aca="false">IF(OR(F11="",G11=""),"",F11*G11)</f>
        <v>156</v>
      </c>
      <c r="I11" s="27"/>
      <c r="K11" s="27" t="s">
        <v>82</v>
      </c>
      <c r="L11" s="12" t="n">
        <f aca="false">SUMIFS($F$5:$F$1000,$B$5:$B$1000,K11)</f>
        <v>15</v>
      </c>
      <c r="M11" s="30" t="n">
        <f aca="false">SUMIFS($H$5:$H$1000,$B$5:$B$1000,K11)</f>
        <v>306.5</v>
      </c>
    </row>
    <row r="12" customFormat="false" ht="15" hidden="false" customHeight="true" outlineLevel="0" collapsed="false">
      <c r="A12" s="12" t="n">
        <v>8</v>
      </c>
      <c r="B12" s="27" t="s">
        <v>84</v>
      </c>
      <c r="C12" s="27" t="s">
        <v>30</v>
      </c>
      <c r="D12" s="28" t="n">
        <v>8</v>
      </c>
      <c r="E12" s="27" t="s">
        <v>11</v>
      </c>
      <c r="F12" s="14" t="n">
        <v>1</v>
      </c>
      <c r="G12" s="43" t="n">
        <f aca="false">SUMIFS('Bulk Pricing'!$E:$E,'Bulk Pricing'!$B:$B,C12,'Bulk Pricing'!$C:$C,D12,'Bulk Pricing'!$D:$D,E12)</f>
        <v>26</v>
      </c>
      <c r="H12" s="30" t="n">
        <f aca="false">IF(OR(F12="",G12=""),"",F12*G12)</f>
        <v>26</v>
      </c>
      <c r="I12" s="27"/>
    </row>
    <row r="13" customFormat="false" ht="15" hidden="false" customHeight="true" outlineLevel="0" collapsed="false">
      <c r="A13" s="12" t="n">
        <v>9</v>
      </c>
      <c r="B13" s="27" t="s">
        <v>80</v>
      </c>
      <c r="C13" s="27" t="s">
        <v>30</v>
      </c>
      <c r="D13" s="28" t="n">
        <v>8</v>
      </c>
      <c r="E13" s="27" t="s">
        <v>11</v>
      </c>
      <c r="F13" s="14" t="n">
        <v>2</v>
      </c>
      <c r="G13" s="43" t="n">
        <f aca="false">SUMIFS('Bulk Pricing'!$E:$E,'Bulk Pricing'!$B:$B,C13,'Bulk Pricing'!$C:$C,D13,'Bulk Pricing'!$D:$D,E13)</f>
        <v>26</v>
      </c>
      <c r="H13" s="30" t="n">
        <f aca="false">IF(OR(F13="",G13=""),"",F13*G13)</f>
        <v>52</v>
      </c>
      <c r="I13" s="27"/>
    </row>
    <row r="14" customFormat="false" ht="15" hidden="false" customHeight="true" outlineLevel="0" collapsed="false">
      <c r="A14" s="12" t="n">
        <v>10</v>
      </c>
      <c r="B14" s="27" t="s">
        <v>80</v>
      </c>
      <c r="C14" s="27" t="s">
        <v>30</v>
      </c>
      <c r="D14" s="28" t="n">
        <v>4</v>
      </c>
      <c r="E14" s="27" t="s">
        <v>10</v>
      </c>
      <c r="F14" s="14" t="n">
        <v>4</v>
      </c>
      <c r="G14" s="43" t="n">
        <f aca="false">SUMIFS('Bulk Pricing'!$E:$E,'Bulk Pricing'!$B:$B,C14,'Bulk Pricing'!$C:$C,D14,'Bulk Pricing'!$D:$D,E14)</f>
        <v>13</v>
      </c>
      <c r="H14" s="30" t="n">
        <f aca="false">IF(OR(F14="",G14=""),"",F14*G14)</f>
        <v>52</v>
      </c>
      <c r="I14" s="27"/>
    </row>
    <row r="15" customFormat="false" ht="15" hidden="false" customHeight="true" outlineLevel="0" collapsed="false">
      <c r="A15" s="12" t="n">
        <v>11</v>
      </c>
      <c r="B15" s="27" t="s">
        <v>80</v>
      </c>
      <c r="C15" s="27" t="s">
        <v>30</v>
      </c>
      <c r="D15" s="28" t="n">
        <v>8</v>
      </c>
      <c r="E15" s="27" t="s">
        <v>10</v>
      </c>
      <c r="F15" s="14" t="n">
        <v>1</v>
      </c>
      <c r="G15" s="43" t="n">
        <f aca="false">SUMIFS('Bulk Pricing'!$E:$E,'Bulk Pricing'!$B:$B,C15,'Bulk Pricing'!$C:$C,D15,'Bulk Pricing'!$D:$D,E15)</f>
        <v>26</v>
      </c>
      <c r="H15" s="30" t="n">
        <f aca="false">IF(OR(F15="",G15=""),"",F15*G15)</f>
        <v>26</v>
      </c>
      <c r="I15" s="27"/>
    </row>
    <row r="16" customFormat="false" ht="15" hidden="false" customHeight="true" outlineLevel="0" collapsed="false">
      <c r="A16" s="12" t="n">
        <v>12</v>
      </c>
      <c r="B16" s="27" t="s">
        <v>82</v>
      </c>
      <c r="C16" s="27" t="s">
        <v>30</v>
      </c>
      <c r="D16" s="28" t="n">
        <v>8</v>
      </c>
      <c r="E16" s="27" t="s">
        <v>10</v>
      </c>
      <c r="F16" s="14" t="n">
        <v>1</v>
      </c>
      <c r="G16" s="43" t="n">
        <f aca="false">SUMIFS('Bulk Pricing'!$E:$E,'Bulk Pricing'!$B:$B,C16,'Bulk Pricing'!$C:$C,D16,'Bulk Pricing'!$D:$D,E16)</f>
        <v>26</v>
      </c>
      <c r="H16" s="30" t="n">
        <f aca="false">IF(OR(F16="",G16=""),"",F16*G16)</f>
        <v>26</v>
      </c>
      <c r="I16" s="27"/>
    </row>
    <row r="17" customFormat="false" ht="15" hidden="false" customHeight="true" outlineLevel="0" collapsed="false">
      <c r="A17" s="12" t="n">
        <v>13</v>
      </c>
      <c r="B17" s="27" t="s">
        <v>88</v>
      </c>
      <c r="C17" s="27" t="s">
        <v>30</v>
      </c>
      <c r="D17" s="28" t="n">
        <v>4</v>
      </c>
      <c r="E17" s="27" t="s">
        <v>10</v>
      </c>
      <c r="F17" s="14" t="n">
        <v>1</v>
      </c>
      <c r="G17" s="43" t="n">
        <f aca="false">SUMIFS('Bulk Pricing'!$E:$E,'Bulk Pricing'!$B:$B,C17,'Bulk Pricing'!$C:$C,D17,'Bulk Pricing'!$D:$D,E17)</f>
        <v>13</v>
      </c>
      <c r="H17" s="30" t="n">
        <f aca="false">IF(OR(F17="",G17=""),"",F17*G17)</f>
        <v>13</v>
      </c>
      <c r="I17" s="27"/>
    </row>
    <row r="18" customFormat="false" ht="15" hidden="false" customHeight="true" outlineLevel="0" collapsed="false">
      <c r="A18" s="12" t="n">
        <v>14</v>
      </c>
      <c r="B18" s="27" t="s">
        <v>77</v>
      </c>
      <c r="C18" s="27" t="s">
        <v>30</v>
      </c>
      <c r="D18" s="28" t="n">
        <v>4</v>
      </c>
      <c r="E18" s="27" t="s">
        <v>10</v>
      </c>
      <c r="F18" s="14" t="n">
        <v>1</v>
      </c>
      <c r="G18" s="43" t="n">
        <f aca="false">SUMIFS('Bulk Pricing'!$E:$E,'Bulk Pricing'!$B:$B,C18,'Bulk Pricing'!$C:$C,D18,'Bulk Pricing'!$D:$D,E18)</f>
        <v>13</v>
      </c>
      <c r="H18" s="30" t="n">
        <f aca="false">IF(OR(F18="",G18=""),"",F18*G18)</f>
        <v>13</v>
      </c>
      <c r="I18" s="27"/>
    </row>
    <row r="19" customFormat="false" ht="15" hidden="false" customHeight="true" outlineLevel="0" collapsed="false">
      <c r="A19" s="32" t="n">
        <v>15</v>
      </c>
      <c r="B19" s="33" t="s">
        <v>87</v>
      </c>
      <c r="C19" s="33" t="s">
        <v>31</v>
      </c>
      <c r="D19" s="34" t="n">
        <v>8</v>
      </c>
      <c r="E19" s="33" t="s">
        <v>11</v>
      </c>
      <c r="F19" s="14" t="n">
        <v>2</v>
      </c>
      <c r="G19" s="44" t="n">
        <f aca="false">SUMIFS('Bulk Pricing'!$E:$E,'Bulk Pricing'!$B:$B,C19,'Bulk Pricing'!$C:$C,D19,'Bulk Pricing'!$D:$D,E19)</f>
        <v>27.5</v>
      </c>
      <c r="H19" s="35" t="n">
        <f aca="false">IF(OR(F19="",G19=""),"",F19*G19)</f>
        <v>55</v>
      </c>
      <c r="I19" s="33"/>
    </row>
    <row r="20" customFormat="false" ht="15" hidden="false" customHeight="true" outlineLevel="0" collapsed="false">
      <c r="A20" s="32" t="n">
        <v>16</v>
      </c>
      <c r="B20" s="33" t="s">
        <v>90</v>
      </c>
      <c r="C20" s="33" t="s">
        <v>31</v>
      </c>
      <c r="D20" s="34" t="n">
        <v>8</v>
      </c>
      <c r="E20" s="33" t="s">
        <v>11</v>
      </c>
      <c r="F20" s="14" t="n">
        <v>2</v>
      </c>
      <c r="G20" s="44" t="n">
        <f aca="false">SUMIFS('Bulk Pricing'!$E:$E,'Bulk Pricing'!$B:$B,C20,'Bulk Pricing'!$C:$C,D20,'Bulk Pricing'!$D:$D,E20)</f>
        <v>27.5</v>
      </c>
      <c r="H20" s="35" t="n">
        <f aca="false">IF(OR(F20="",G20=""),"",F20*G20)</f>
        <v>55</v>
      </c>
      <c r="I20" s="33"/>
    </row>
    <row r="21" customFormat="false" ht="15" hidden="false" customHeight="true" outlineLevel="0" collapsed="false">
      <c r="A21" s="32" t="n">
        <v>17</v>
      </c>
      <c r="B21" s="33" t="s">
        <v>80</v>
      </c>
      <c r="C21" s="33" t="s">
        <v>31</v>
      </c>
      <c r="D21" s="34" t="n">
        <v>8</v>
      </c>
      <c r="E21" s="33" t="s">
        <v>11</v>
      </c>
      <c r="F21" s="14" t="n">
        <v>1</v>
      </c>
      <c r="G21" s="44" t="n">
        <f aca="false">SUMIFS('Bulk Pricing'!$E:$E,'Bulk Pricing'!$B:$B,C21,'Bulk Pricing'!$C:$C,D21,'Bulk Pricing'!$D:$D,E21)</f>
        <v>27.5</v>
      </c>
      <c r="H21" s="35" t="n">
        <f aca="false">IF(OR(F21="",G21=""),"",F21*G21)</f>
        <v>27.5</v>
      </c>
      <c r="I21" s="33"/>
    </row>
    <row r="22" customFormat="false" ht="15" hidden="false" customHeight="true" outlineLevel="0" collapsed="false">
      <c r="A22" s="32" t="n">
        <v>18</v>
      </c>
      <c r="B22" s="33" t="s">
        <v>82</v>
      </c>
      <c r="C22" s="33" t="s">
        <v>31</v>
      </c>
      <c r="D22" s="34" t="n">
        <v>4</v>
      </c>
      <c r="E22" s="33" t="s">
        <v>11</v>
      </c>
      <c r="F22" s="14" t="n">
        <v>3</v>
      </c>
      <c r="G22" s="44" t="n">
        <f aca="false">SUMIFS('Bulk Pricing'!$E:$E,'Bulk Pricing'!$B:$B,C22,'Bulk Pricing'!$C:$C,D22,'Bulk Pricing'!$D:$D,E22)</f>
        <v>15</v>
      </c>
      <c r="H22" s="35" t="n">
        <f aca="false">IF(OR(F22="",G22=""),"",F22*G22)</f>
        <v>45</v>
      </c>
      <c r="I22" s="33"/>
    </row>
    <row r="23" customFormat="false" ht="15" hidden="false" customHeight="true" outlineLevel="0" collapsed="false">
      <c r="A23" s="32" t="n">
        <v>19</v>
      </c>
      <c r="B23" s="33" t="s">
        <v>87</v>
      </c>
      <c r="C23" s="33" t="s">
        <v>31</v>
      </c>
      <c r="D23" s="34" t="n">
        <v>8</v>
      </c>
      <c r="E23" s="33" t="s">
        <v>11</v>
      </c>
      <c r="F23" s="14" t="n">
        <v>1</v>
      </c>
      <c r="G23" s="44" t="n">
        <f aca="false">SUMIFS('Bulk Pricing'!$E:$E,'Bulk Pricing'!$B:$B,C23,'Bulk Pricing'!$C:$C,D23,'Bulk Pricing'!$D:$D,E23)</f>
        <v>27.5</v>
      </c>
      <c r="H23" s="35" t="n">
        <f aca="false">IF(OR(F23="",G23=""),"",F23*G23)</f>
        <v>27.5</v>
      </c>
      <c r="I23" s="33"/>
    </row>
    <row r="24" customFormat="false" ht="15" hidden="false" customHeight="true" outlineLevel="0" collapsed="false">
      <c r="A24" s="32" t="n">
        <v>20</v>
      </c>
      <c r="B24" s="33" t="s">
        <v>77</v>
      </c>
      <c r="C24" s="33" t="s">
        <v>31</v>
      </c>
      <c r="D24" s="34" t="n">
        <v>4</v>
      </c>
      <c r="E24" s="33" t="s">
        <v>11</v>
      </c>
      <c r="F24" s="14" t="n">
        <v>5</v>
      </c>
      <c r="G24" s="44" t="n">
        <f aca="false">SUMIFS('Bulk Pricing'!$E:$E,'Bulk Pricing'!$B:$B,C24,'Bulk Pricing'!$C:$C,D24,'Bulk Pricing'!$D:$D,E24)</f>
        <v>15</v>
      </c>
      <c r="H24" s="35" t="n">
        <f aca="false">IF(OR(F24="",G24=""),"",F24*G24)</f>
        <v>75</v>
      </c>
      <c r="I24" s="33"/>
    </row>
    <row r="25" customFormat="false" ht="15" hidden="false" customHeight="true" outlineLevel="0" collapsed="false">
      <c r="A25" s="32" t="n">
        <v>21</v>
      </c>
      <c r="B25" s="33" t="s">
        <v>77</v>
      </c>
      <c r="C25" s="33" t="s">
        <v>31</v>
      </c>
      <c r="D25" s="34" t="n">
        <v>8</v>
      </c>
      <c r="E25" s="33" t="s">
        <v>10</v>
      </c>
      <c r="F25" s="14" t="n">
        <v>1</v>
      </c>
      <c r="G25" s="44" t="n">
        <f aca="false">SUMIFS('Bulk Pricing'!$E:$E,'Bulk Pricing'!$B:$B,C25,'Bulk Pricing'!$C:$C,D25,'Bulk Pricing'!$D:$D,E25)</f>
        <v>27.5</v>
      </c>
      <c r="H25" s="35" t="n">
        <f aca="false">IF(OR(F25="",G25=""),"",F25*G25)</f>
        <v>27.5</v>
      </c>
      <c r="I25" s="33"/>
    </row>
    <row r="26" customFormat="false" ht="15" hidden="false" customHeight="true" outlineLevel="0" collapsed="false">
      <c r="A26" s="32" t="n">
        <v>22</v>
      </c>
      <c r="B26" s="33" t="s">
        <v>82</v>
      </c>
      <c r="C26" s="33" t="s">
        <v>31</v>
      </c>
      <c r="D26" s="34" t="n">
        <v>8</v>
      </c>
      <c r="E26" s="33" t="s">
        <v>10</v>
      </c>
      <c r="F26" s="14" t="n">
        <v>1</v>
      </c>
      <c r="G26" s="44" t="n">
        <f aca="false">SUMIFS('Bulk Pricing'!$E:$E,'Bulk Pricing'!$B:$B,C26,'Bulk Pricing'!$C:$C,D26,'Bulk Pricing'!$D:$D,E26)</f>
        <v>27.5</v>
      </c>
      <c r="H26" s="35" t="n">
        <f aca="false">IF(OR(F26="",G26=""),"",F26*G26)</f>
        <v>27.5</v>
      </c>
      <c r="I26" s="33"/>
    </row>
    <row r="27" customFormat="false" ht="15" hidden="false" customHeight="true" outlineLevel="0" collapsed="false">
      <c r="A27" s="32" t="n">
        <v>23</v>
      </c>
      <c r="B27" s="33" t="s">
        <v>87</v>
      </c>
      <c r="C27" s="33" t="s">
        <v>31</v>
      </c>
      <c r="D27" s="34" t="n">
        <v>16</v>
      </c>
      <c r="E27" s="33" t="s">
        <v>10</v>
      </c>
      <c r="F27" s="14" t="n">
        <v>3</v>
      </c>
      <c r="G27" s="44" t="n">
        <f aca="false">SUMIFS('Bulk Pricing'!$E:$E,'Bulk Pricing'!$B:$B,C27,'Bulk Pricing'!$C:$C,D27,'Bulk Pricing'!$D:$D,E27)</f>
        <v>57.5</v>
      </c>
      <c r="H27" s="35" t="n">
        <f aca="false">IF(OR(F27="",G27=""),"",F27*G27)</f>
        <v>172.5</v>
      </c>
      <c r="I27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1" width="6"/>
    <col collapsed="false" customWidth="true" hidden="false" outlineLevel="0" max="2" min="2" style="21" width="12"/>
    <col collapsed="false" customWidth="true" hidden="false" outlineLevel="0" max="3" min="3" style="21" width="22"/>
    <col collapsed="false" customWidth="true" hidden="false" outlineLevel="0" max="4" min="4" style="21" width="10"/>
    <col collapsed="false" customWidth="true" hidden="false" outlineLevel="0" max="5" min="5" style="21" width="26"/>
    <col collapsed="false" customWidth="true" hidden="false" outlineLevel="0" max="6" min="6" style="21" width="6"/>
    <col collapsed="false" customWidth="true" hidden="false" outlineLevel="0" max="7" min="7" style="21" width="12"/>
    <col collapsed="false" customWidth="true" hidden="false" outlineLevel="0" max="8" min="8" style="21" width="11"/>
    <col collapsed="false" customWidth="true" hidden="false" outlineLevel="0" max="9" min="9" style="21" width="40"/>
    <col collapsed="false" customWidth="true" hidden="false" outlineLevel="0" max="10" min="10" style="21" width="3"/>
    <col collapsed="false" customWidth="true" hidden="false" outlineLevel="0" max="11" min="11" style="21" width="12"/>
    <col collapsed="false" customWidth="true" hidden="false" outlineLevel="0" max="13" min="13" style="21" width="11"/>
  </cols>
  <sheetData>
    <row r="1" customFormat="false" ht="17.25" hidden="false" customHeight="true" outlineLevel="0" collapsed="false">
      <c r="A1" s="22" t="s">
        <v>91</v>
      </c>
    </row>
    <row r="2" customFormat="false" ht="15" hidden="false" customHeight="true" outlineLevel="0" collapsed="false">
      <c r="A2" s="23" t="s">
        <v>39</v>
      </c>
      <c r="B2" s="23" t="n">
        <f aca="false">SUM(F5:F1000)</f>
        <v>8</v>
      </c>
      <c r="C2" s="25" t="s">
        <v>72</v>
      </c>
      <c r="D2" s="26" t="n">
        <f aca="false">SUM(H5:H1000)</f>
        <v>1400</v>
      </c>
      <c r="E2" s="41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42" t="s">
        <v>75</v>
      </c>
      <c r="L4" s="42" t="s">
        <v>34</v>
      </c>
      <c r="M4" s="42" t="s">
        <v>76</v>
      </c>
    </row>
    <row r="5" customFormat="false" ht="15" hidden="false" customHeight="true" outlineLevel="0" collapsed="false">
      <c r="A5" s="12" t="n">
        <v>1</v>
      </c>
      <c r="B5" s="27" t="s">
        <v>82</v>
      </c>
      <c r="C5" s="27" t="s">
        <v>30</v>
      </c>
      <c r="D5" s="28" t="n">
        <v>32</v>
      </c>
      <c r="E5" s="27" t="s">
        <v>12</v>
      </c>
      <c r="F5" s="14" t="n">
        <v>8</v>
      </c>
      <c r="G5" s="43" t="n">
        <f aca="false">SUMIFS('Bulk Pricing'!$E:$E,'Bulk Pricing'!$B:$B,C5,'Bulk Pricing'!$C:$C,D5,'Bulk Pricing'!$D:$D,E5)</f>
        <v>175</v>
      </c>
      <c r="H5" s="30" t="n">
        <f aca="false">IF(OR(F5="",G5=""),"",F5*G5)</f>
        <v>1400</v>
      </c>
      <c r="I5" s="27"/>
      <c r="K5" s="27" t="s">
        <v>82</v>
      </c>
      <c r="L5" s="12" t="n">
        <f aca="false">SUMIFS($F$5:$F$1000,$B$5:$B$1000,K5)</f>
        <v>8</v>
      </c>
      <c r="M5" s="30" t="n">
        <f aca="false">SUMIFS($H$5:$H$1000,$B$5:$B$1000,K5)</f>
        <v>1400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1" width="6"/>
    <col collapsed="false" customWidth="true" hidden="false" outlineLevel="0" max="2" min="2" style="21" width="12"/>
    <col collapsed="false" customWidth="true" hidden="false" outlineLevel="0" max="3" min="3" style="21" width="22"/>
    <col collapsed="false" customWidth="true" hidden="false" outlineLevel="0" max="4" min="4" style="21" width="10"/>
    <col collapsed="false" customWidth="true" hidden="false" outlineLevel="0" max="5" min="5" style="21" width="26"/>
    <col collapsed="false" customWidth="true" hidden="false" outlineLevel="0" max="6" min="6" style="21" width="6"/>
    <col collapsed="false" customWidth="true" hidden="false" outlineLevel="0" max="7" min="7" style="21" width="12"/>
    <col collapsed="false" customWidth="true" hidden="false" outlineLevel="0" max="8" min="8" style="21" width="11"/>
    <col collapsed="false" customWidth="true" hidden="false" outlineLevel="0" max="9" min="9" style="21" width="40"/>
    <col collapsed="false" customWidth="true" hidden="false" outlineLevel="0" max="10" min="10" style="21" width="3"/>
    <col collapsed="false" customWidth="true" hidden="false" outlineLevel="0" max="11" min="11" style="21" width="12"/>
    <col collapsed="false" customWidth="true" hidden="false" outlineLevel="0" max="13" min="13" style="21" width="11"/>
  </cols>
  <sheetData>
    <row r="1" customFormat="false" ht="17.25" hidden="false" customHeight="true" outlineLevel="0" collapsed="false">
      <c r="A1" s="22" t="s">
        <v>92</v>
      </c>
    </row>
    <row r="2" customFormat="false" ht="15" hidden="false" customHeight="true" outlineLevel="0" collapsed="false">
      <c r="A2" s="23" t="s">
        <v>39</v>
      </c>
      <c r="B2" s="23" t="n">
        <f aca="false">SUM(F5:F1000)</f>
        <v>9</v>
      </c>
      <c r="C2" s="25" t="s">
        <v>72</v>
      </c>
      <c r="D2" s="26" t="n">
        <f aca="false">SUM(H5:H1000)</f>
        <v>224.91</v>
      </c>
      <c r="E2" s="41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42" t="s">
        <v>75</v>
      </c>
      <c r="L4" s="42" t="s">
        <v>34</v>
      </c>
      <c r="M4" s="42" t="s">
        <v>76</v>
      </c>
    </row>
    <row r="5" customFormat="false" ht="15" hidden="false" customHeight="true" outlineLevel="0" collapsed="false">
      <c r="A5" s="12" t="n">
        <v>1</v>
      </c>
      <c r="B5" s="27" t="s">
        <v>93</v>
      </c>
      <c r="C5" s="27" t="s">
        <v>94</v>
      </c>
      <c r="D5" s="28" t="n">
        <v>4</v>
      </c>
      <c r="E5" s="27" t="s">
        <v>94</v>
      </c>
      <c r="F5" s="14" t="n">
        <v>9</v>
      </c>
      <c r="G5" s="29" t="n">
        <v>24.99</v>
      </c>
      <c r="H5" s="30" t="n">
        <f aca="false">IF(OR(F5="",G5=""),"",F5*G5)</f>
        <v>224.91</v>
      </c>
      <c r="I5" s="27"/>
      <c r="K5" s="27" t="s">
        <v>93</v>
      </c>
      <c r="L5" s="12" t="n">
        <f aca="false">SUMIFS($F$5:$F$1000,$B$5:$B$1000,K5)</f>
        <v>9</v>
      </c>
      <c r="M5" s="30" t="n">
        <f aca="false">SUMIFS($H$5:$H$1000,$B$5:$B$1000,K5)</f>
        <v>224.91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1" width="6"/>
    <col collapsed="false" customWidth="true" hidden="false" outlineLevel="0" max="2" min="2" style="21" width="12"/>
    <col collapsed="false" customWidth="true" hidden="false" outlineLevel="0" max="3" min="3" style="21" width="22"/>
    <col collapsed="false" customWidth="true" hidden="false" outlineLevel="0" max="4" min="4" style="21" width="10"/>
    <col collapsed="false" customWidth="true" hidden="false" outlineLevel="0" max="5" min="5" style="21" width="26"/>
    <col collapsed="false" customWidth="true" hidden="false" outlineLevel="0" max="6" min="6" style="21" width="6"/>
    <col collapsed="false" customWidth="true" hidden="false" outlineLevel="0" max="7" min="7" style="21" width="12"/>
    <col collapsed="false" customWidth="true" hidden="false" outlineLevel="0" max="8" min="8" style="21" width="11"/>
    <col collapsed="false" customWidth="true" hidden="false" outlineLevel="0" max="9" min="9" style="21" width="40"/>
    <col collapsed="false" customWidth="true" hidden="false" outlineLevel="0" max="10" min="10" style="21" width="3"/>
    <col collapsed="false" customWidth="true" hidden="false" outlineLevel="0" max="11" min="11" style="21" width="12"/>
    <col collapsed="false" customWidth="true" hidden="false" outlineLevel="0" max="13" min="13" style="21" width="11"/>
  </cols>
  <sheetData>
    <row r="1" customFormat="false" ht="17.25" hidden="false" customHeight="true" outlineLevel="0" collapsed="false">
      <c r="A1" s="22" t="s">
        <v>95</v>
      </c>
    </row>
    <row r="2" customFormat="false" ht="15" hidden="false" customHeight="true" outlineLevel="0" collapsed="false">
      <c r="A2" s="23" t="s">
        <v>39</v>
      </c>
      <c r="B2" s="23" t="n">
        <f aca="false">SUM(F5:F1000)</f>
        <v>157</v>
      </c>
      <c r="C2" s="25" t="s">
        <v>72</v>
      </c>
      <c r="D2" s="26" t="n">
        <f aca="false">SUM(H5:H1000)</f>
        <v>3716</v>
      </c>
      <c r="E2" s="41" t="s">
        <v>73</v>
      </c>
    </row>
    <row r="4" customFormat="false" ht="30" hidden="false" customHeight="true" outlineLevel="0" collapsed="false">
      <c r="A4" s="11" t="s">
        <v>74</v>
      </c>
      <c r="B4" s="11" t="s">
        <v>75</v>
      </c>
      <c r="C4" s="11" t="s">
        <v>14</v>
      </c>
      <c r="D4" s="11" t="s">
        <v>41</v>
      </c>
      <c r="E4" s="11" t="s">
        <v>42</v>
      </c>
      <c r="F4" s="11" t="s">
        <v>34</v>
      </c>
      <c r="G4" s="11" t="s">
        <v>43</v>
      </c>
      <c r="H4" s="11" t="s">
        <v>22</v>
      </c>
      <c r="I4" s="11" t="s">
        <v>46</v>
      </c>
      <c r="K4" s="42" t="s">
        <v>75</v>
      </c>
      <c r="L4" s="42" t="s">
        <v>34</v>
      </c>
      <c r="M4" s="42" t="s">
        <v>76</v>
      </c>
    </row>
    <row r="5" customFormat="false" ht="15" hidden="false" customHeight="true" outlineLevel="0" collapsed="false">
      <c r="A5" s="12" t="n">
        <v>1</v>
      </c>
      <c r="B5" s="27" t="s">
        <v>96</v>
      </c>
      <c r="C5" s="27" t="s">
        <v>31</v>
      </c>
      <c r="D5" s="28" t="n">
        <v>16</v>
      </c>
      <c r="E5" s="27" t="s">
        <v>11</v>
      </c>
      <c r="F5" s="14" t="n">
        <v>3</v>
      </c>
      <c r="G5" s="43" t="n">
        <f aca="false">SUMIFS('Bulk Pricing'!$E:$E,'Bulk Pricing'!$B:$B,C5,'Bulk Pricing'!$C:$C,D5,'Bulk Pricing'!$D:$D,E5)</f>
        <v>57.5</v>
      </c>
      <c r="H5" s="30" t="n">
        <f aca="false">IF(OR(F5="",G5=""),"",F5*G5)</f>
        <v>172.5</v>
      </c>
      <c r="I5" s="27" t="s">
        <v>97</v>
      </c>
      <c r="K5" s="27" t="s">
        <v>96</v>
      </c>
      <c r="L5" s="12" t="n">
        <f aca="false">SUMIFS($F$5:$F$1000,$B$5:$B$1000,K5)</f>
        <v>157</v>
      </c>
      <c r="M5" s="30" t="n">
        <f aca="false">SUMIFS($H$5:$H$1000,$B$5:$B$1000,K5)</f>
        <v>3716</v>
      </c>
    </row>
    <row r="6" customFormat="false" ht="15" hidden="false" customHeight="true" outlineLevel="0" collapsed="false">
      <c r="A6" s="12" t="n">
        <v>2</v>
      </c>
      <c r="B6" s="27" t="s">
        <v>96</v>
      </c>
      <c r="C6" s="27" t="s">
        <v>30</v>
      </c>
      <c r="D6" s="28" t="n">
        <v>16</v>
      </c>
      <c r="E6" s="27" t="s">
        <v>11</v>
      </c>
      <c r="F6" s="14" t="n">
        <v>5</v>
      </c>
      <c r="G6" s="43" t="n">
        <f aca="false">SUMIFS('Bulk Pricing'!$E:$E,'Bulk Pricing'!$B:$B,C6,'Bulk Pricing'!$C:$C,D6,'Bulk Pricing'!$D:$D,E6)</f>
        <v>54.5</v>
      </c>
      <c r="H6" s="30" t="n">
        <f aca="false">IF(OR(F6="",G6=""),"",F6*G6)</f>
        <v>272.5</v>
      </c>
      <c r="I6" s="27"/>
      <c r="K6" s="27"/>
      <c r="L6" s="12"/>
      <c r="M6" s="30"/>
    </row>
    <row r="7" customFormat="false" ht="15" hidden="false" customHeight="true" outlineLevel="0" collapsed="false">
      <c r="A7" s="12" t="n">
        <v>3</v>
      </c>
      <c r="B7" s="27" t="s">
        <v>96</v>
      </c>
      <c r="C7" s="27" t="s">
        <v>29</v>
      </c>
      <c r="D7" s="28" t="n">
        <v>16</v>
      </c>
      <c r="E7" s="27" t="s">
        <v>11</v>
      </c>
      <c r="F7" s="14" t="n">
        <v>1</v>
      </c>
      <c r="G7" s="43" t="n">
        <f aca="false">SUMIFS('Bulk Pricing'!$E:$E,'Bulk Pricing'!$B:$B,C7,'Bulk Pricing'!$C:$C,D7,'Bulk Pricing'!$D:$D,E7)</f>
        <v>50.5</v>
      </c>
      <c r="H7" s="30" t="n">
        <f aca="false">IF(OR(F7="",G7=""),"",F7*G7)</f>
        <v>50.5</v>
      </c>
      <c r="I7" s="27"/>
      <c r="K7" s="27"/>
      <c r="L7" s="12"/>
      <c r="M7" s="30"/>
    </row>
    <row r="8" customFormat="false" ht="15" hidden="false" customHeight="true" outlineLevel="0" collapsed="false">
      <c r="A8" s="12" t="n">
        <v>4</v>
      </c>
      <c r="B8" s="27" t="s">
        <v>96</v>
      </c>
      <c r="C8" s="27" t="s">
        <v>31</v>
      </c>
      <c r="D8" s="28" t="n">
        <v>8</v>
      </c>
      <c r="E8" s="27" t="s">
        <v>11</v>
      </c>
      <c r="F8" s="14" t="n">
        <v>13</v>
      </c>
      <c r="G8" s="43" t="n">
        <f aca="false">SUMIFS('Bulk Pricing'!$E:$E,'Bulk Pricing'!$B:$B,C8,'Bulk Pricing'!$C:$C,D8,'Bulk Pricing'!$D:$D,E8)</f>
        <v>27.5</v>
      </c>
      <c r="H8" s="30" t="n">
        <f aca="false">IF(OR(F8="",G8=""),"",F8*G8)</f>
        <v>357.5</v>
      </c>
      <c r="I8" s="27"/>
      <c r="K8" s="27"/>
      <c r="L8" s="12"/>
      <c r="M8" s="30"/>
    </row>
    <row r="9" customFormat="false" ht="15" hidden="false" customHeight="true" outlineLevel="0" collapsed="false">
      <c r="A9" s="12" t="n">
        <v>5</v>
      </c>
      <c r="B9" s="27" t="s">
        <v>96</v>
      </c>
      <c r="C9" s="27" t="s">
        <v>30</v>
      </c>
      <c r="D9" s="28" t="n">
        <v>8</v>
      </c>
      <c r="E9" s="27" t="s">
        <v>11</v>
      </c>
      <c r="F9" s="14" t="n">
        <v>32</v>
      </c>
      <c r="G9" s="43" t="n">
        <f aca="false">SUMIFS('Bulk Pricing'!$E:$E,'Bulk Pricing'!$B:$B,C9,'Bulk Pricing'!$C:$C,D9,'Bulk Pricing'!$D:$D,E9)</f>
        <v>26</v>
      </c>
      <c r="H9" s="30" t="n">
        <f aca="false">IF(OR(F9="",G9=""),"",F9*G9)</f>
        <v>832</v>
      </c>
      <c r="I9" s="27"/>
      <c r="K9" s="27"/>
      <c r="L9" s="12"/>
      <c r="M9" s="30"/>
    </row>
    <row r="10" customFormat="false" ht="15" hidden="false" customHeight="true" outlineLevel="0" collapsed="false">
      <c r="A10" s="12" t="n">
        <v>6</v>
      </c>
      <c r="B10" s="27" t="s">
        <v>96</v>
      </c>
      <c r="C10" s="27" t="s">
        <v>29</v>
      </c>
      <c r="D10" s="28" t="n">
        <v>8</v>
      </c>
      <c r="E10" s="27" t="s">
        <v>11</v>
      </c>
      <c r="F10" s="14" t="n">
        <v>39</v>
      </c>
      <c r="G10" s="43" t="n">
        <f aca="false">SUMIFS('Bulk Pricing'!$E:$E,'Bulk Pricing'!$B:$B,C10,'Bulk Pricing'!$C:$C,D10,'Bulk Pricing'!$D:$D,E10)</f>
        <v>24</v>
      </c>
      <c r="H10" s="30" t="n">
        <f aca="false">IF(OR(F10="",G10=""),"",F10*G10)</f>
        <v>936</v>
      </c>
      <c r="I10" s="27"/>
      <c r="K10" s="27"/>
      <c r="L10" s="12"/>
      <c r="M10" s="30"/>
    </row>
    <row r="11" customFormat="false" ht="15" hidden="false" customHeight="true" outlineLevel="0" collapsed="false">
      <c r="A11" s="12" t="n">
        <v>7</v>
      </c>
      <c r="B11" s="27" t="s">
        <v>96</v>
      </c>
      <c r="C11" s="27" t="s">
        <v>28</v>
      </c>
      <c r="D11" s="28" t="n">
        <v>8</v>
      </c>
      <c r="E11" s="27" t="s">
        <v>11</v>
      </c>
      <c r="F11" s="14" t="n">
        <v>10</v>
      </c>
      <c r="G11" s="43" t="n">
        <f aca="false">SUMIFS('Bulk Pricing'!$E:$E,'Bulk Pricing'!$B:$B,C11,'Bulk Pricing'!$C:$C,D11,'Bulk Pricing'!$D:$D,E11)</f>
        <v>24</v>
      </c>
      <c r="H11" s="30" t="n">
        <f aca="false">IF(OR(F11="",G11=""),"",F11*G11)</f>
        <v>240</v>
      </c>
      <c r="I11" s="27"/>
      <c r="K11" s="27"/>
      <c r="L11" s="12"/>
      <c r="M11" s="30"/>
    </row>
    <row r="12" customFormat="false" ht="15" hidden="false" customHeight="true" outlineLevel="0" collapsed="false">
      <c r="A12" s="12" t="n">
        <v>8</v>
      </c>
      <c r="B12" s="27" t="s">
        <v>96</v>
      </c>
      <c r="C12" s="27" t="s">
        <v>31</v>
      </c>
      <c r="D12" s="28" t="n">
        <v>4</v>
      </c>
      <c r="E12" s="27" t="s">
        <v>11</v>
      </c>
      <c r="F12" s="14" t="n">
        <v>6</v>
      </c>
      <c r="G12" s="43" t="n">
        <f aca="false">SUMIFS('Bulk Pricing'!$E:$E,'Bulk Pricing'!$B:$B,C12,'Bulk Pricing'!$C:$C,D12,'Bulk Pricing'!$D:$D,E12)</f>
        <v>15</v>
      </c>
      <c r="H12" s="30" t="n">
        <f aca="false">IF(OR(F12="",G12=""),"",F12*G12)</f>
        <v>90</v>
      </c>
      <c r="I12" s="27"/>
    </row>
    <row r="13" customFormat="false" ht="15" hidden="false" customHeight="true" outlineLevel="0" collapsed="false">
      <c r="A13" s="12" t="n">
        <v>9</v>
      </c>
      <c r="B13" s="27" t="s">
        <v>96</v>
      </c>
      <c r="C13" s="27" t="s">
        <v>30</v>
      </c>
      <c r="D13" s="28" t="n">
        <v>4</v>
      </c>
      <c r="E13" s="27" t="s">
        <v>11</v>
      </c>
      <c r="F13" s="14" t="n">
        <v>6</v>
      </c>
      <c r="G13" s="43" t="n">
        <f aca="false">SUMIFS('Bulk Pricing'!$E:$E,'Bulk Pricing'!$B:$B,C13,'Bulk Pricing'!$C:$C,D13,'Bulk Pricing'!$D:$D,E13)</f>
        <v>13</v>
      </c>
      <c r="H13" s="30" t="n">
        <f aca="false">IF(OR(F13="",G13=""),"",F13*G13)</f>
        <v>78</v>
      </c>
      <c r="I13" s="27"/>
    </row>
    <row r="14" customFormat="false" ht="15" hidden="false" customHeight="true" outlineLevel="0" collapsed="false">
      <c r="A14" s="12" t="n">
        <v>10</v>
      </c>
      <c r="B14" s="27" t="s">
        <v>96</v>
      </c>
      <c r="C14" s="27" t="s">
        <v>29</v>
      </c>
      <c r="D14" s="28" t="n">
        <v>4</v>
      </c>
      <c r="E14" s="27" t="s">
        <v>11</v>
      </c>
      <c r="F14" s="14" t="n">
        <v>13</v>
      </c>
      <c r="G14" s="43" t="n">
        <f aca="false">SUMIFS('Bulk Pricing'!$E:$E,'Bulk Pricing'!$B:$B,C14,'Bulk Pricing'!$C:$C,D14,'Bulk Pricing'!$D:$D,E14)</f>
        <v>12</v>
      </c>
      <c r="H14" s="30" t="n">
        <f aca="false">IF(OR(F14="",G14=""),"",F14*G14)</f>
        <v>156</v>
      </c>
      <c r="I14" s="27"/>
    </row>
    <row r="15" customFormat="false" ht="15" hidden="false" customHeight="true" outlineLevel="0" collapsed="false">
      <c r="A15" s="12" t="n">
        <v>11</v>
      </c>
      <c r="B15" s="27" t="s">
        <v>96</v>
      </c>
      <c r="C15" s="27" t="s">
        <v>28</v>
      </c>
      <c r="D15" s="28" t="n">
        <v>4</v>
      </c>
      <c r="E15" s="27" t="s">
        <v>11</v>
      </c>
      <c r="F15" s="14" t="n">
        <v>9</v>
      </c>
      <c r="G15" s="43" t="n">
        <f aca="false">SUMIFS('Bulk Pricing'!$E:$E,'Bulk Pricing'!$B:$B,C15,'Bulk Pricing'!$C:$C,D15,'Bulk Pricing'!$D:$D,E15)</f>
        <v>12</v>
      </c>
      <c r="H15" s="30" t="n">
        <f aca="false">IF(OR(F15="",G15=""),"",F15*G15)</f>
        <v>108</v>
      </c>
      <c r="I15" s="27"/>
    </row>
    <row r="16" customFormat="false" ht="15" hidden="false" customHeight="true" outlineLevel="0" collapsed="false">
      <c r="A16" s="12" t="n">
        <v>12</v>
      </c>
      <c r="B16" s="27" t="s">
        <v>96</v>
      </c>
      <c r="C16" s="27" t="s">
        <v>31</v>
      </c>
      <c r="D16" s="28" t="n">
        <v>16</v>
      </c>
      <c r="E16" s="27" t="s">
        <v>10</v>
      </c>
      <c r="F16" s="14" t="n">
        <v>1</v>
      </c>
      <c r="G16" s="43" t="n">
        <f aca="false">SUMIFS('Bulk Pricing'!$E:$E,'Bulk Pricing'!$B:$B,C16,'Bulk Pricing'!$C:$C,D16,'Bulk Pricing'!$D:$D,E16)</f>
        <v>57.5</v>
      </c>
      <c r="H16" s="30" t="n">
        <f aca="false">IF(OR(F16="",G16=""),"",F16*G16)</f>
        <v>57.5</v>
      </c>
      <c r="I16" s="27"/>
    </row>
    <row r="17" customFormat="false" ht="15" hidden="false" customHeight="true" outlineLevel="0" collapsed="false">
      <c r="A17" s="12" t="n">
        <v>13</v>
      </c>
      <c r="B17" s="27" t="s">
        <v>96</v>
      </c>
      <c r="C17" s="27" t="s">
        <v>31</v>
      </c>
      <c r="D17" s="28" t="n">
        <v>8</v>
      </c>
      <c r="E17" s="27" t="s">
        <v>10</v>
      </c>
      <c r="F17" s="14" t="n">
        <v>5</v>
      </c>
      <c r="G17" s="43" t="n">
        <f aca="false">SUMIFS('Bulk Pricing'!$E:$E,'Bulk Pricing'!$B:$B,C17,'Bulk Pricing'!$C:$C,D17,'Bulk Pricing'!$D:$D,E17)</f>
        <v>27.5</v>
      </c>
      <c r="H17" s="30" t="n">
        <f aca="false">IF(OR(F17="",G17=""),"",F17*G17)</f>
        <v>137.5</v>
      </c>
      <c r="I17" s="27"/>
    </row>
    <row r="18" customFormat="false" ht="15" hidden="false" customHeight="true" outlineLevel="0" collapsed="false">
      <c r="A18" s="12" t="n">
        <v>14</v>
      </c>
      <c r="B18" s="27" t="s">
        <v>96</v>
      </c>
      <c r="C18" s="27" t="s">
        <v>30</v>
      </c>
      <c r="D18" s="28" t="n">
        <v>8</v>
      </c>
      <c r="E18" s="27" t="s">
        <v>10</v>
      </c>
      <c r="F18" s="14" t="n">
        <v>3</v>
      </c>
      <c r="G18" s="43" t="n">
        <f aca="false">SUMIFS('Bulk Pricing'!$E:$E,'Bulk Pricing'!$B:$B,C18,'Bulk Pricing'!$C:$C,D18,'Bulk Pricing'!$D:$D,E18)</f>
        <v>26</v>
      </c>
      <c r="H18" s="30" t="n">
        <f aca="false">IF(OR(F18="",G18=""),"",F18*G18)</f>
        <v>78</v>
      </c>
      <c r="I18" s="27"/>
    </row>
    <row r="19" customFormat="false" ht="15" hidden="false" customHeight="true" outlineLevel="0" collapsed="false">
      <c r="A19" s="12" t="n">
        <v>15</v>
      </c>
      <c r="B19" s="27" t="s">
        <v>96</v>
      </c>
      <c r="C19" s="27" t="s">
        <v>28</v>
      </c>
      <c r="D19" s="28" t="n">
        <v>8</v>
      </c>
      <c r="E19" s="27" t="s">
        <v>10</v>
      </c>
      <c r="F19" s="14" t="n">
        <v>1</v>
      </c>
      <c r="G19" s="43" t="n">
        <f aca="false">SUMIFS('Bulk Pricing'!$E:$E,'Bulk Pricing'!$B:$B,C19,'Bulk Pricing'!$C:$C,D19,'Bulk Pricing'!$D:$D,E19)</f>
        <v>24</v>
      </c>
      <c r="H19" s="30" t="n">
        <f aca="false">IF(OR(F19="",G19=""),"",F19*G19)</f>
        <v>24</v>
      </c>
      <c r="I19" s="33"/>
    </row>
    <row r="20" customFormat="false" ht="15" hidden="false" customHeight="true" outlineLevel="0" collapsed="false">
      <c r="A20" s="12" t="n">
        <v>16</v>
      </c>
      <c r="B20" s="27" t="s">
        <v>96</v>
      </c>
      <c r="C20" s="27" t="s">
        <v>31</v>
      </c>
      <c r="D20" s="28" t="n">
        <v>4</v>
      </c>
      <c r="E20" s="27" t="s">
        <v>10</v>
      </c>
      <c r="F20" s="14" t="n">
        <v>1</v>
      </c>
      <c r="G20" s="43" t="n">
        <f aca="false">SUMIFS('Bulk Pricing'!$E:$E,'Bulk Pricing'!$B:$B,C20,'Bulk Pricing'!$C:$C,D20,'Bulk Pricing'!$D:$D,E20)</f>
        <v>15</v>
      </c>
      <c r="H20" s="30" t="n">
        <f aca="false">IF(OR(F20="",G20=""),"",F20*G20)</f>
        <v>15</v>
      </c>
      <c r="I20" s="33"/>
    </row>
    <row r="21" customFormat="false" ht="15" hidden="false" customHeight="true" outlineLevel="0" collapsed="false">
      <c r="A21" s="12" t="n">
        <v>17</v>
      </c>
      <c r="B21" s="27" t="s">
        <v>96</v>
      </c>
      <c r="C21" s="27" t="s">
        <v>30</v>
      </c>
      <c r="D21" s="28" t="n">
        <v>4</v>
      </c>
      <c r="E21" s="27" t="s">
        <v>10</v>
      </c>
      <c r="F21" s="14" t="n">
        <v>3</v>
      </c>
      <c r="G21" s="43" t="n">
        <f aca="false">SUMIFS('Bulk Pricing'!$E:$E,'Bulk Pricing'!$B:$B,C21,'Bulk Pricing'!$C:$C,D21,'Bulk Pricing'!$D:$D,E21)</f>
        <v>13</v>
      </c>
      <c r="H21" s="30" t="n">
        <f aca="false">IF(OR(F21="",G21=""),"",F21*G21)</f>
        <v>39</v>
      </c>
      <c r="I21" s="33"/>
    </row>
    <row r="22" customFormat="false" ht="15" hidden="false" customHeight="true" outlineLevel="0" collapsed="false">
      <c r="A22" s="12" t="n">
        <v>18</v>
      </c>
      <c r="B22" s="27" t="s">
        <v>96</v>
      </c>
      <c r="C22" s="27" t="s">
        <v>29</v>
      </c>
      <c r="D22" s="28" t="n">
        <v>4</v>
      </c>
      <c r="E22" s="27" t="s">
        <v>10</v>
      </c>
      <c r="F22" s="14" t="n">
        <v>3</v>
      </c>
      <c r="G22" s="43" t="n">
        <f aca="false">SUMIFS('Bulk Pricing'!$E:$E,'Bulk Pricing'!$B:$B,C22,'Bulk Pricing'!$C:$C,D22,'Bulk Pricing'!$D:$D,E22)</f>
        <v>12</v>
      </c>
      <c r="H22" s="30" t="n">
        <f aca="false">IF(OR(F22="",G22=""),"",F22*G22)</f>
        <v>36</v>
      </c>
      <c r="I22" s="33"/>
    </row>
    <row r="23" customFormat="false" ht="15" hidden="false" customHeight="true" outlineLevel="0" collapsed="false">
      <c r="A23" s="12" t="n">
        <v>19</v>
      </c>
      <c r="B23" s="27" t="s">
        <v>96</v>
      </c>
      <c r="C23" s="27" t="s">
        <v>28</v>
      </c>
      <c r="D23" s="28" t="n">
        <v>4</v>
      </c>
      <c r="E23" s="27" t="s">
        <v>10</v>
      </c>
      <c r="F23" s="14" t="n">
        <v>3</v>
      </c>
      <c r="G23" s="43" t="n">
        <f aca="false">SUMIFS('Bulk Pricing'!$E:$E,'Bulk Pricing'!$B:$B,C23,'Bulk Pricing'!$C:$C,D23,'Bulk Pricing'!$D:$D,E23)</f>
        <v>12</v>
      </c>
      <c r="H23" s="30" t="n">
        <f aca="false">IF(OR(F23="",G23=""),"",F23*G23)</f>
        <v>36</v>
      </c>
      <c r="I23" s="33"/>
    </row>
    <row r="24" customFormat="false" ht="15" hidden="false" customHeight="true" outlineLevel="0" collapsed="false">
      <c r="A24" s="32"/>
      <c r="B24" s="33"/>
      <c r="C24" s="33"/>
      <c r="D24" s="34"/>
      <c r="E24" s="33"/>
      <c r="F24" s="14"/>
      <c r="G24" s="44"/>
      <c r="H24" s="35"/>
      <c r="I24" s="33"/>
    </row>
    <row r="25" customFormat="false" ht="15" hidden="false" customHeight="true" outlineLevel="0" collapsed="false">
      <c r="A25" s="32"/>
      <c r="B25" s="33"/>
      <c r="C25" s="33"/>
      <c r="D25" s="34"/>
      <c r="E25" s="33"/>
      <c r="F25" s="14"/>
      <c r="G25" s="44"/>
      <c r="H25" s="35"/>
      <c r="I25" s="33"/>
    </row>
    <row r="26" customFormat="false" ht="15" hidden="false" customHeight="true" outlineLevel="0" collapsed="false">
      <c r="A26" s="32"/>
      <c r="B26" s="33"/>
      <c r="C26" s="33"/>
      <c r="D26" s="34"/>
      <c r="E26" s="33"/>
      <c r="F26" s="14"/>
      <c r="G26" s="44"/>
      <c r="H26" s="35"/>
      <c r="I26" s="33"/>
    </row>
    <row r="27" customFormat="false" ht="15" hidden="false" customHeight="true" outlineLevel="0" collapsed="false">
      <c r="A27" s="32"/>
      <c r="B27" s="33"/>
      <c r="C27" s="33"/>
      <c r="D27" s="34"/>
      <c r="E27" s="33"/>
      <c r="F27" s="14"/>
      <c r="G27" s="44"/>
      <c r="H27" s="35"/>
      <c r="I27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2026-10-26T14:50:09Z</dcterms:created>
  <dc:creator>openpyxl</dc:creator>
  <dc:description/>
  <dc:language>en-US</dc:language>
  <cp:lastModifiedBy/>
  <dcterms:modified xsi:type="dcterms:W3CDTF">2026-10-30T12:46:02Z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