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 Pricing" sheetId="1" state="visible" r:id="rId3"/>
    <sheet name="How to use" sheetId="2" state="visible" r:id="rId4"/>
  </sheets>
  <definedNames>
    <definedName function="false" hidden="true" localSheetId="0" name="_xlnm._FilterDatabase" vbProcedure="false">'Bulk Pricing'!$A$4:$I$64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Bulk price per single stick, set by owner. Blank until priced.</t>
        </r>
      </text>
    </comment>
  </commentList>
</comments>
</file>

<file path=xl/sharedStrings.xml><?xml version="1.0" encoding="utf-8"?>
<sst xmlns="http://schemas.openxmlformats.org/spreadsheetml/2006/main" count="226" uniqueCount="43">
  <si>
    <t xml:space="preserve">RAM Bulk Buyer Pricing (all brands, non-gaming)</t>
  </si>
  <si>
    <t xml:space="preserve">Last updated:</t>
  </si>
  <si>
    <t xml:space="preserve">Total est. value:</t>
  </si>
  <si>
    <t xml:space="preserve">Total sticks:</t>
  </si>
  <si>
    <t xml:space="preserve">Generation</t>
  </si>
  <si>
    <t xml:space="preserve">Speed</t>
  </si>
  <si>
    <t xml:space="preserve">Capacity</t>
  </si>
  <si>
    <t xml:space="preserve">Type</t>
  </si>
  <si>
    <t xml:space="preserve">Price per stick</t>
  </si>
  <si>
    <t xml:space="preserve">Price per GB</t>
  </si>
  <si>
    <t xml:space="preserve">Qty</t>
  </si>
  <si>
    <t xml:space="preserve">Est. total</t>
  </si>
  <si>
    <t xml:space="preserve">Notes</t>
  </si>
  <si>
    <t xml:space="preserve">DDR3</t>
  </si>
  <si>
    <t xml:space="preserve">DDR3-1333 / PC3-10600</t>
  </si>
  <si>
    <t xml:space="preserve">Desktop UDIMM (Non-ECC)</t>
  </si>
  <si>
    <t xml:space="preserve">Laptop SODIMM (Non-ECC)</t>
  </si>
  <si>
    <t xml:space="preserve">Server RDIMM (Registered ECC)</t>
  </si>
  <si>
    <t xml:space="preserve">DDR3-1600 / PC3-12800</t>
  </si>
  <si>
    <t xml:space="preserve">DDR4</t>
  </si>
  <si>
    <t xml:space="preserve">DDR4-2133 / PC4-17000</t>
  </si>
  <si>
    <t xml:space="preserve">Single 16GB stick (not a kit)</t>
  </si>
  <si>
    <t xml:space="preserve">Single 32GB stick (not a kit)</t>
  </si>
  <si>
    <t xml:space="preserve">DDR4-2400 / PC4-19200</t>
  </si>
  <si>
    <t xml:space="preserve">DDR4-2666 / PC4-21300</t>
  </si>
  <si>
    <t xml:space="preserve">DDR4-3200 / PC4-25600</t>
  </si>
  <si>
    <t xml:space="preserve">How to use this sheet</t>
  </si>
  <si>
    <t xml:space="preserve">Yellow cells with blue text are the only cells to edit: Price per stick, Qty, Notes, and Last updated.</t>
  </si>
  <si>
    <t xml:space="preserve">Price per GB and Est. total calculate automatically and stay blank until a price (and qty) is entered.</t>
  </si>
  <si>
    <t xml:space="preserve">Prices are per single stick, any brand, tested. Gaming RAM is NOT on this sheet; it is listed separately.</t>
  </si>
  <si>
    <t xml:space="preserve">4GB: desktop, laptop and server are all the same price for a given speed.</t>
  </si>
  <si>
    <t xml:space="preserve">8GB and up: desktop and laptop are the same price; server is priced separately.</t>
  </si>
  <si>
    <t xml:space="preserve">All prices are for ONE stick. 16GB and 32GB rows are single 16GB / 32GB sticks, not kits.</t>
  </si>
  <si>
    <t xml:space="preserve">DDR4 16GB stick = 2 x the 8GB price + $2.50.  DDR4 32GB stick = 2 x the 16GB price + $2.50.  DDR3 16/32GB not priced.</t>
  </si>
  <si>
    <t xml:space="preserve">Rows are grouped by speed; the shading alternates between speed groups.</t>
  </si>
  <si>
    <t xml:space="preserve">Adding a new type</t>
  </si>
  <si>
    <t xml:space="preserve">Insert rows at the bottom of the table (or within a group) and copy the Price per GB / Est. total formulas down.</t>
  </si>
  <si>
    <t xml:space="preserve">Capacity is entered as a number (e.g. 16); it displays as 16GB.</t>
  </si>
  <si>
    <t xml:space="preserve">Totals at the top sum rows 5-1000, so new rows are picked up automatically.</t>
  </si>
  <si>
    <t xml:space="preserve">Speed reference</t>
  </si>
  <si>
    <t xml:space="preserve">DDR3-1333 = PC3-10600   DDR3-1600 = PC3-12800 (U = desktop, S = laptop, R = server)</t>
  </si>
  <si>
    <t xml:space="preserve">DDR4-2133 = PC4-17000 (2133P)   DDR4-2400 = PC4-19200 (2400T)</t>
  </si>
  <si>
    <t xml:space="preserve">DDR4-2666 = PC4-21300 (2666V)   DDR4-3200 = PC4-25600 (3200AA)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</si>
</sst>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.00"/>
    <numFmt numFmtId="167" formatCode="0&quot;GB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  <font>
      <b val="true"/>
      <sz val="13"/>
      <color rgb="FF1F4E78"/>
      <name val="Calibri"/>
      <family val="0"/>
      <charset val="1"/>
    </font>
    <font>
      <b val="true"/>
      <sz val="11"/>
      <color rgb="FF1F4E78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46313</v>
      </c>
      <c r="D2" s="4" t="s">
        <v>2</v>
      </c>
      <c r="E2" s="5" t="n">
        <f aca="false">SUM(H5:H1000)</f>
        <v>0</v>
      </c>
      <c r="F2" s="4" t="s">
        <v>3</v>
      </c>
      <c r="G2" s="2" t="n">
        <f aca="false">SUM(G5:G1000)</f>
        <v>0</v>
      </c>
    </row>
    <row r="4" customFormat="false" ht="30" hidden="false" customHeight="true" outlineLevel="0" collapsed="false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</row>
    <row r="5" customFormat="false" ht="15" hidden="false" customHeight="false" outlineLevel="0" collapsed="false">
      <c r="A5" s="7" t="s">
        <v>13</v>
      </c>
      <c r="B5" s="8" t="s">
        <v>14</v>
      </c>
      <c r="C5" s="9" t="n">
        <v>4</v>
      </c>
      <c r="D5" s="8" t="s">
        <v>15</v>
      </c>
      <c r="E5" s="10" t="n">
        <v>7</v>
      </c>
      <c r="F5" s="11" t="n">
        <f aca="false">IF(E5="","",E5/C5)</f>
        <v>1.75</v>
      </c>
      <c r="G5" s="12"/>
      <c r="H5" s="11" t="str">
        <f aca="false">IF(OR(E5="",G5=""),"",E5*G5)</f>
        <v/>
      </c>
      <c r="I5" s="12"/>
    </row>
    <row r="6" customFormat="false" ht="15" hidden="false" customHeight="false" outlineLevel="0" collapsed="false">
      <c r="A6" s="7" t="s">
        <v>13</v>
      </c>
      <c r="B6" s="8" t="s">
        <v>14</v>
      </c>
      <c r="C6" s="9" t="n">
        <v>4</v>
      </c>
      <c r="D6" s="8" t="s">
        <v>16</v>
      </c>
      <c r="E6" s="10" t="n">
        <v>7</v>
      </c>
      <c r="F6" s="11" t="n">
        <f aca="false">IF(E6="","",E6/C6)</f>
        <v>1.75</v>
      </c>
      <c r="G6" s="12"/>
      <c r="H6" s="11" t="str">
        <f aca="false">IF(OR(E6="",G6=""),"",E6*G6)</f>
        <v/>
      </c>
      <c r="I6" s="12"/>
    </row>
    <row r="7" customFormat="false" ht="15" hidden="false" customHeight="false" outlineLevel="0" collapsed="false">
      <c r="A7" s="7" t="s">
        <v>13</v>
      </c>
      <c r="B7" s="8" t="s">
        <v>14</v>
      </c>
      <c r="C7" s="9" t="n">
        <v>4</v>
      </c>
      <c r="D7" s="8" t="s">
        <v>17</v>
      </c>
      <c r="E7" s="10" t="n">
        <v>7</v>
      </c>
      <c r="F7" s="11" t="n">
        <f aca="false">IF(E7="","",E7/C7)</f>
        <v>1.75</v>
      </c>
      <c r="G7" s="12"/>
      <c r="H7" s="11" t="str">
        <f aca="false">IF(OR(E7="",G7=""),"",E7*G7)</f>
        <v/>
      </c>
      <c r="I7" s="12"/>
    </row>
    <row r="8" customFormat="false" ht="15" hidden="false" customHeight="false" outlineLevel="0" collapsed="false">
      <c r="A8" s="7" t="s">
        <v>13</v>
      </c>
      <c r="B8" s="8" t="s">
        <v>14</v>
      </c>
      <c r="C8" s="9" t="n">
        <v>8</v>
      </c>
      <c r="D8" s="8" t="s">
        <v>15</v>
      </c>
      <c r="E8" s="10" t="n">
        <v>11</v>
      </c>
      <c r="F8" s="11" t="n">
        <f aca="false">IF(E8="","",E8/C8)</f>
        <v>1.375</v>
      </c>
      <c r="G8" s="12"/>
      <c r="H8" s="11" t="str">
        <f aca="false">IF(OR(E8="",G8=""),"",E8*G8)</f>
        <v/>
      </c>
      <c r="I8" s="12"/>
    </row>
    <row r="9" customFormat="false" ht="15" hidden="false" customHeight="false" outlineLevel="0" collapsed="false">
      <c r="A9" s="7" t="s">
        <v>13</v>
      </c>
      <c r="B9" s="8" t="s">
        <v>14</v>
      </c>
      <c r="C9" s="9" t="n">
        <v>8</v>
      </c>
      <c r="D9" s="8" t="s">
        <v>16</v>
      </c>
      <c r="E9" s="10" t="n">
        <v>11</v>
      </c>
      <c r="F9" s="11" t="n">
        <f aca="false">IF(E9="","",E9/C9)</f>
        <v>1.375</v>
      </c>
      <c r="G9" s="12"/>
      <c r="H9" s="11" t="str">
        <f aca="false">IF(OR(E9="",G9=""),"",E9*G9)</f>
        <v/>
      </c>
      <c r="I9" s="12"/>
    </row>
    <row r="10" customFormat="false" ht="15" hidden="false" customHeight="false" outlineLevel="0" collapsed="false">
      <c r="A10" s="7" t="s">
        <v>13</v>
      </c>
      <c r="B10" s="8" t="s">
        <v>14</v>
      </c>
      <c r="C10" s="9" t="n">
        <v>8</v>
      </c>
      <c r="D10" s="8" t="s">
        <v>17</v>
      </c>
      <c r="E10" s="10"/>
      <c r="F10" s="11" t="str">
        <f aca="false">IF(E10="","",E10/C10)</f>
        <v/>
      </c>
      <c r="G10" s="12"/>
      <c r="H10" s="11" t="str">
        <f aca="false">IF(OR(E10="",G10=""),"",E10*G10)</f>
        <v/>
      </c>
      <c r="I10" s="12"/>
    </row>
    <row r="11" customFormat="false" ht="15" hidden="false" customHeight="false" outlineLevel="0" collapsed="false">
      <c r="A11" s="13" t="s">
        <v>13</v>
      </c>
      <c r="B11" s="14" t="s">
        <v>18</v>
      </c>
      <c r="C11" s="15" t="n">
        <v>4</v>
      </c>
      <c r="D11" s="14" t="s">
        <v>15</v>
      </c>
      <c r="E11" s="10" t="n">
        <v>7</v>
      </c>
      <c r="F11" s="16" t="n">
        <f aca="false">IF(E11="","",E11/C11)</f>
        <v>1.75</v>
      </c>
      <c r="G11" s="12"/>
      <c r="H11" s="16" t="str">
        <f aca="false">IF(OR(E11="",G11=""),"",E11*G11)</f>
        <v/>
      </c>
      <c r="I11" s="12"/>
    </row>
    <row r="12" customFormat="false" ht="15" hidden="false" customHeight="false" outlineLevel="0" collapsed="false">
      <c r="A12" s="13" t="s">
        <v>13</v>
      </c>
      <c r="B12" s="14" t="s">
        <v>18</v>
      </c>
      <c r="C12" s="15" t="n">
        <v>4</v>
      </c>
      <c r="D12" s="14" t="s">
        <v>16</v>
      </c>
      <c r="E12" s="10" t="n">
        <v>7</v>
      </c>
      <c r="F12" s="16" t="n">
        <f aca="false">IF(E12="","",E12/C12)</f>
        <v>1.75</v>
      </c>
      <c r="G12" s="12"/>
      <c r="H12" s="16" t="str">
        <f aca="false">IF(OR(E12="",G12=""),"",E12*G12)</f>
        <v/>
      </c>
      <c r="I12" s="12"/>
    </row>
    <row r="13" customFormat="false" ht="15" hidden="false" customHeight="false" outlineLevel="0" collapsed="false">
      <c r="A13" s="13" t="s">
        <v>13</v>
      </c>
      <c r="B13" s="14" t="s">
        <v>18</v>
      </c>
      <c r="C13" s="15" t="n">
        <v>4</v>
      </c>
      <c r="D13" s="14" t="s">
        <v>17</v>
      </c>
      <c r="E13" s="10" t="n">
        <v>7</v>
      </c>
      <c r="F13" s="16" t="n">
        <f aca="false">IF(E13="","",E13/C13)</f>
        <v>1.75</v>
      </c>
      <c r="G13" s="12"/>
      <c r="H13" s="16" t="str">
        <f aca="false">IF(OR(E13="",G13=""),"",E13*G13)</f>
        <v/>
      </c>
      <c r="I13" s="12"/>
    </row>
    <row r="14" customFormat="false" ht="15" hidden="false" customHeight="false" outlineLevel="0" collapsed="false">
      <c r="A14" s="13" t="s">
        <v>13</v>
      </c>
      <c r="B14" s="14" t="s">
        <v>18</v>
      </c>
      <c r="C14" s="15" t="n">
        <v>8</v>
      </c>
      <c r="D14" s="14" t="s">
        <v>15</v>
      </c>
      <c r="E14" s="10" t="n">
        <v>11</v>
      </c>
      <c r="F14" s="16" t="n">
        <f aca="false">IF(E14="","",E14/C14)</f>
        <v>1.375</v>
      </c>
      <c r="G14" s="12"/>
      <c r="H14" s="16" t="str">
        <f aca="false">IF(OR(E14="",G14=""),"",E14*G14)</f>
        <v/>
      </c>
      <c r="I14" s="12"/>
    </row>
    <row r="15" customFormat="false" ht="15" hidden="false" customHeight="false" outlineLevel="0" collapsed="false">
      <c r="A15" s="13" t="s">
        <v>13</v>
      </c>
      <c r="B15" s="14" t="s">
        <v>18</v>
      </c>
      <c r="C15" s="15" t="n">
        <v>8</v>
      </c>
      <c r="D15" s="14" t="s">
        <v>16</v>
      </c>
      <c r="E15" s="10" t="n">
        <v>11</v>
      </c>
      <c r="F15" s="16" t="n">
        <f aca="false">IF(E15="","",E15/C15)</f>
        <v>1.375</v>
      </c>
      <c r="G15" s="12"/>
      <c r="H15" s="16" t="str">
        <f aca="false">IF(OR(E15="",G15=""),"",E15*G15)</f>
        <v/>
      </c>
      <c r="I15" s="12"/>
    </row>
    <row r="16" customFormat="false" ht="15" hidden="false" customHeight="false" outlineLevel="0" collapsed="false">
      <c r="A16" s="13" t="s">
        <v>13</v>
      </c>
      <c r="B16" s="14" t="s">
        <v>18</v>
      </c>
      <c r="C16" s="15" t="n">
        <v>8</v>
      </c>
      <c r="D16" s="14" t="s">
        <v>17</v>
      </c>
      <c r="E16" s="10"/>
      <c r="F16" s="16" t="str">
        <f aca="false">IF(E16="","",E16/C16)</f>
        <v/>
      </c>
      <c r="G16" s="12"/>
      <c r="H16" s="16" t="str">
        <f aca="false">IF(OR(E16="",G16=""),"",E16*G16)</f>
        <v/>
      </c>
      <c r="I16" s="12"/>
    </row>
    <row r="17" customFormat="false" ht="15" hidden="false" customHeight="false" outlineLevel="0" collapsed="false">
      <c r="A17" s="7" t="s">
        <v>19</v>
      </c>
      <c r="B17" s="8" t="s">
        <v>20</v>
      </c>
      <c r="C17" s="9" t="n">
        <v>4</v>
      </c>
      <c r="D17" s="8" t="s">
        <v>15</v>
      </c>
      <c r="E17" s="10" t="n">
        <v>11</v>
      </c>
      <c r="F17" s="11" t="n">
        <f aca="false">IF(E17="","",E17/C17)</f>
        <v>2.75</v>
      </c>
      <c r="G17" s="12"/>
      <c r="H17" s="11" t="str">
        <f aca="false">IF(OR(E17="",G17=""),"",E17*G17)</f>
        <v/>
      </c>
      <c r="I17" s="12"/>
    </row>
    <row r="18" customFormat="false" ht="15" hidden="false" customHeight="false" outlineLevel="0" collapsed="false">
      <c r="A18" s="7" t="s">
        <v>19</v>
      </c>
      <c r="B18" s="8" t="s">
        <v>20</v>
      </c>
      <c r="C18" s="9" t="n">
        <v>4</v>
      </c>
      <c r="D18" s="8" t="s">
        <v>16</v>
      </c>
      <c r="E18" s="10" t="n">
        <v>11</v>
      </c>
      <c r="F18" s="11" t="n">
        <f aca="false">IF(E18="","",E18/C18)</f>
        <v>2.75</v>
      </c>
      <c r="G18" s="12"/>
      <c r="H18" s="11" t="str">
        <f aca="false">IF(OR(E18="",G18=""),"",E18*G18)</f>
        <v/>
      </c>
      <c r="I18" s="12"/>
    </row>
    <row r="19" customFormat="false" ht="15" hidden="false" customHeight="false" outlineLevel="0" collapsed="false">
      <c r="A19" s="7" t="s">
        <v>19</v>
      </c>
      <c r="B19" s="8" t="s">
        <v>20</v>
      </c>
      <c r="C19" s="9" t="n">
        <v>4</v>
      </c>
      <c r="D19" s="8" t="s">
        <v>17</v>
      </c>
      <c r="E19" s="10" t="n">
        <v>11</v>
      </c>
      <c r="F19" s="11" t="n">
        <f aca="false">IF(E19="","",E19/C19)</f>
        <v>2.75</v>
      </c>
      <c r="G19" s="12"/>
      <c r="H19" s="11" t="str">
        <f aca="false">IF(OR(E19="",G19=""),"",E19*G19)</f>
        <v/>
      </c>
      <c r="I19" s="12"/>
    </row>
    <row r="20" customFormat="false" ht="15" hidden="false" customHeight="false" outlineLevel="0" collapsed="false">
      <c r="A20" s="7" t="s">
        <v>19</v>
      </c>
      <c r="B20" s="8" t="s">
        <v>20</v>
      </c>
      <c r="C20" s="9" t="n">
        <v>8</v>
      </c>
      <c r="D20" s="8" t="s">
        <v>15</v>
      </c>
      <c r="E20" s="10" t="n">
        <v>22</v>
      </c>
      <c r="F20" s="11" t="n">
        <f aca="false">IF(E20="","",E20/C20)</f>
        <v>2.75</v>
      </c>
      <c r="G20" s="12"/>
      <c r="H20" s="11" t="str">
        <f aca="false">IF(OR(E20="",G20=""),"",E20*G20)</f>
        <v/>
      </c>
      <c r="I20" s="12"/>
    </row>
    <row r="21" customFormat="false" ht="15" hidden="false" customHeight="false" outlineLevel="0" collapsed="false">
      <c r="A21" s="7" t="s">
        <v>19</v>
      </c>
      <c r="B21" s="8" t="s">
        <v>20</v>
      </c>
      <c r="C21" s="9" t="n">
        <v>8</v>
      </c>
      <c r="D21" s="8" t="s">
        <v>16</v>
      </c>
      <c r="E21" s="10" t="n">
        <v>22</v>
      </c>
      <c r="F21" s="11" t="n">
        <f aca="false">IF(E21="","",E21/C21)</f>
        <v>2.75</v>
      </c>
      <c r="G21" s="12"/>
      <c r="H21" s="11" t="str">
        <f aca="false">IF(OR(E21="",G21=""),"",E21*G21)</f>
        <v/>
      </c>
      <c r="I21" s="12"/>
    </row>
    <row r="22" customFormat="false" ht="15" hidden="false" customHeight="false" outlineLevel="0" collapsed="false">
      <c r="A22" s="7" t="s">
        <v>19</v>
      </c>
      <c r="B22" s="8" t="s">
        <v>20</v>
      </c>
      <c r="C22" s="9" t="n">
        <v>8</v>
      </c>
      <c r="D22" s="8" t="s">
        <v>17</v>
      </c>
      <c r="E22" s="10"/>
      <c r="F22" s="11" t="str">
        <f aca="false">IF(E22="","",E22/C22)</f>
        <v/>
      </c>
      <c r="G22" s="12"/>
      <c r="H22" s="11" t="str">
        <f aca="false">IF(OR(E22="",G22=""),"",E22*G22)</f>
        <v/>
      </c>
      <c r="I22" s="12"/>
    </row>
    <row r="23" customFormat="false" ht="15" hidden="false" customHeight="false" outlineLevel="0" collapsed="false">
      <c r="A23" s="7" t="s">
        <v>19</v>
      </c>
      <c r="B23" s="8" t="s">
        <v>20</v>
      </c>
      <c r="C23" s="9" t="n">
        <v>16</v>
      </c>
      <c r="D23" s="8" t="s">
        <v>15</v>
      </c>
      <c r="E23" s="10" t="n">
        <v>46.5</v>
      </c>
      <c r="F23" s="11" t="n">
        <f aca="false">IF(E23="","",E23/C23)</f>
        <v>2.90625</v>
      </c>
      <c r="G23" s="12"/>
      <c r="H23" s="11" t="str">
        <f aca="false">IF(OR(E23="",G23=""),"",E23*G23)</f>
        <v/>
      </c>
      <c r="I23" s="12" t="s">
        <v>21</v>
      </c>
    </row>
    <row r="24" customFormat="false" ht="15" hidden="false" customHeight="false" outlineLevel="0" collapsed="false">
      <c r="A24" s="7" t="s">
        <v>19</v>
      </c>
      <c r="B24" s="8" t="s">
        <v>20</v>
      </c>
      <c r="C24" s="9" t="n">
        <v>16</v>
      </c>
      <c r="D24" s="8" t="s">
        <v>16</v>
      </c>
      <c r="E24" s="10" t="n">
        <v>46.5</v>
      </c>
      <c r="F24" s="11" t="n">
        <f aca="false">IF(E24="","",E24/C24)</f>
        <v>2.90625</v>
      </c>
      <c r="G24" s="12"/>
      <c r="H24" s="11" t="str">
        <f aca="false">IF(OR(E24="",G24=""),"",E24*G24)</f>
        <v/>
      </c>
      <c r="I24" s="12" t="s">
        <v>21</v>
      </c>
    </row>
    <row r="25" customFormat="false" ht="15" hidden="false" customHeight="false" outlineLevel="0" collapsed="false">
      <c r="A25" s="7" t="s">
        <v>19</v>
      </c>
      <c r="B25" s="8" t="s">
        <v>20</v>
      </c>
      <c r="C25" s="9" t="n">
        <v>16</v>
      </c>
      <c r="D25" s="8" t="s">
        <v>17</v>
      </c>
      <c r="E25" s="10"/>
      <c r="F25" s="11" t="str">
        <f aca="false">IF(E25="","",E25/C25)</f>
        <v/>
      </c>
      <c r="G25" s="12"/>
      <c r="H25" s="11" t="str">
        <f aca="false">IF(OR(E25="",G25=""),"",E25*G25)</f>
        <v/>
      </c>
      <c r="I25" s="12"/>
    </row>
    <row r="26" customFormat="false" ht="15" hidden="false" customHeight="false" outlineLevel="0" collapsed="false">
      <c r="A26" s="7" t="s">
        <v>19</v>
      </c>
      <c r="B26" s="8" t="s">
        <v>20</v>
      </c>
      <c r="C26" s="9" t="n">
        <v>32</v>
      </c>
      <c r="D26" s="8" t="s">
        <v>15</v>
      </c>
      <c r="E26" s="10" t="n">
        <v>95.5</v>
      </c>
      <c r="F26" s="11" t="n">
        <f aca="false">IF(E26="","",E26/C26)</f>
        <v>2.984375</v>
      </c>
      <c r="G26" s="12"/>
      <c r="H26" s="11" t="str">
        <f aca="false">IF(OR(E26="",G26=""),"",E26*G26)</f>
        <v/>
      </c>
      <c r="I26" s="12" t="s">
        <v>22</v>
      </c>
    </row>
    <row r="27" customFormat="false" ht="15" hidden="false" customHeight="false" outlineLevel="0" collapsed="false">
      <c r="A27" s="7" t="s">
        <v>19</v>
      </c>
      <c r="B27" s="8" t="s">
        <v>20</v>
      </c>
      <c r="C27" s="9" t="n">
        <v>32</v>
      </c>
      <c r="D27" s="8" t="s">
        <v>16</v>
      </c>
      <c r="E27" s="10" t="n">
        <v>95.5</v>
      </c>
      <c r="F27" s="11" t="n">
        <f aca="false">IF(E27="","",E27/C27)</f>
        <v>2.984375</v>
      </c>
      <c r="G27" s="12"/>
      <c r="H27" s="11" t="str">
        <f aca="false">IF(OR(E27="",G27=""),"",E27*G27)</f>
        <v/>
      </c>
      <c r="I27" s="12" t="s">
        <v>22</v>
      </c>
    </row>
    <row r="28" customFormat="false" ht="15" hidden="false" customHeight="false" outlineLevel="0" collapsed="false">
      <c r="A28" s="7" t="s">
        <v>19</v>
      </c>
      <c r="B28" s="8" t="s">
        <v>20</v>
      </c>
      <c r="C28" s="9" t="n">
        <v>32</v>
      </c>
      <c r="D28" s="8" t="s">
        <v>17</v>
      </c>
      <c r="E28" s="10"/>
      <c r="F28" s="11" t="str">
        <f aca="false">IF(E28="","",E28/C28)</f>
        <v/>
      </c>
      <c r="G28" s="12"/>
      <c r="H28" s="11" t="str">
        <f aca="false">IF(OR(E28="",G28=""),"",E28*G28)</f>
        <v/>
      </c>
      <c r="I28" s="12"/>
    </row>
    <row r="29" customFormat="false" ht="15" hidden="false" customHeight="false" outlineLevel="0" collapsed="false">
      <c r="A29" s="13" t="s">
        <v>19</v>
      </c>
      <c r="B29" s="14" t="s">
        <v>23</v>
      </c>
      <c r="C29" s="15" t="n">
        <v>4</v>
      </c>
      <c r="D29" s="14" t="s">
        <v>15</v>
      </c>
      <c r="E29" s="10" t="n">
        <v>11</v>
      </c>
      <c r="F29" s="16" t="n">
        <f aca="false">IF(E29="","",E29/C29)</f>
        <v>2.75</v>
      </c>
      <c r="G29" s="12"/>
      <c r="H29" s="16" t="str">
        <f aca="false">IF(OR(E29="",G29=""),"",E29*G29)</f>
        <v/>
      </c>
      <c r="I29" s="12"/>
    </row>
    <row r="30" customFormat="false" ht="15" hidden="false" customHeight="false" outlineLevel="0" collapsed="false">
      <c r="A30" s="13" t="s">
        <v>19</v>
      </c>
      <c r="B30" s="14" t="s">
        <v>23</v>
      </c>
      <c r="C30" s="15" t="n">
        <v>4</v>
      </c>
      <c r="D30" s="14" t="s">
        <v>16</v>
      </c>
      <c r="E30" s="10" t="n">
        <v>11</v>
      </c>
      <c r="F30" s="16" t="n">
        <f aca="false">IF(E30="","",E30/C30)</f>
        <v>2.75</v>
      </c>
      <c r="G30" s="12"/>
      <c r="H30" s="16" t="str">
        <f aca="false">IF(OR(E30="",G30=""),"",E30*G30)</f>
        <v/>
      </c>
      <c r="I30" s="12"/>
    </row>
    <row r="31" customFormat="false" ht="15" hidden="false" customHeight="false" outlineLevel="0" collapsed="false">
      <c r="A31" s="13" t="s">
        <v>19</v>
      </c>
      <c r="B31" s="14" t="s">
        <v>23</v>
      </c>
      <c r="C31" s="15" t="n">
        <v>4</v>
      </c>
      <c r="D31" s="14" t="s">
        <v>17</v>
      </c>
      <c r="E31" s="10" t="n">
        <v>11</v>
      </c>
      <c r="F31" s="16" t="n">
        <f aca="false">IF(E31="","",E31/C31)</f>
        <v>2.75</v>
      </c>
      <c r="G31" s="12"/>
      <c r="H31" s="16" t="str">
        <f aca="false">IF(OR(E31="",G31=""),"",E31*G31)</f>
        <v/>
      </c>
      <c r="I31" s="12"/>
    </row>
    <row r="32" customFormat="false" ht="15" hidden="false" customHeight="false" outlineLevel="0" collapsed="false">
      <c r="A32" s="13" t="s">
        <v>19</v>
      </c>
      <c r="B32" s="14" t="s">
        <v>23</v>
      </c>
      <c r="C32" s="15" t="n">
        <v>8</v>
      </c>
      <c r="D32" s="14" t="s">
        <v>15</v>
      </c>
      <c r="E32" s="10" t="n">
        <v>22</v>
      </c>
      <c r="F32" s="16" t="n">
        <f aca="false">IF(E32="","",E32/C32)</f>
        <v>2.75</v>
      </c>
      <c r="G32" s="12"/>
      <c r="H32" s="16" t="str">
        <f aca="false">IF(OR(E32="",G32=""),"",E32*G32)</f>
        <v/>
      </c>
      <c r="I32" s="12"/>
    </row>
    <row r="33" customFormat="false" ht="15" hidden="false" customHeight="false" outlineLevel="0" collapsed="false">
      <c r="A33" s="13" t="s">
        <v>19</v>
      </c>
      <c r="B33" s="14" t="s">
        <v>23</v>
      </c>
      <c r="C33" s="15" t="n">
        <v>8</v>
      </c>
      <c r="D33" s="14" t="s">
        <v>16</v>
      </c>
      <c r="E33" s="10" t="n">
        <v>22</v>
      </c>
      <c r="F33" s="16" t="n">
        <f aca="false">IF(E33="","",E33/C33)</f>
        <v>2.75</v>
      </c>
      <c r="G33" s="12"/>
      <c r="H33" s="16" t="str">
        <f aca="false">IF(OR(E33="",G33=""),"",E33*G33)</f>
        <v/>
      </c>
      <c r="I33" s="12"/>
    </row>
    <row r="34" customFormat="false" ht="15" hidden="false" customHeight="false" outlineLevel="0" collapsed="false">
      <c r="A34" s="13" t="s">
        <v>19</v>
      </c>
      <c r="B34" s="14" t="s">
        <v>23</v>
      </c>
      <c r="C34" s="15" t="n">
        <v>8</v>
      </c>
      <c r="D34" s="14" t="s">
        <v>17</v>
      </c>
      <c r="E34" s="10"/>
      <c r="F34" s="16" t="str">
        <f aca="false">IF(E34="","",E34/C34)</f>
        <v/>
      </c>
      <c r="G34" s="12"/>
      <c r="H34" s="16" t="str">
        <f aca="false">IF(OR(E34="",G34=""),"",E34*G34)</f>
        <v/>
      </c>
      <c r="I34" s="12"/>
    </row>
    <row r="35" customFormat="false" ht="15" hidden="false" customHeight="false" outlineLevel="0" collapsed="false">
      <c r="A35" s="13" t="s">
        <v>19</v>
      </c>
      <c r="B35" s="14" t="s">
        <v>23</v>
      </c>
      <c r="C35" s="15" t="n">
        <v>16</v>
      </c>
      <c r="D35" s="14" t="s">
        <v>15</v>
      </c>
      <c r="E35" s="10" t="n">
        <v>46.5</v>
      </c>
      <c r="F35" s="16" t="n">
        <f aca="false">IF(E35="","",E35/C35)</f>
        <v>2.90625</v>
      </c>
      <c r="G35" s="12"/>
      <c r="H35" s="16" t="str">
        <f aca="false">IF(OR(E35="",G35=""),"",E35*G35)</f>
        <v/>
      </c>
      <c r="I35" s="12" t="s">
        <v>21</v>
      </c>
    </row>
    <row r="36" customFormat="false" ht="15" hidden="false" customHeight="false" outlineLevel="0" collapsed="false">
      <c r="A36" s="13" t="s">
        <v>19</v>
      </c>
      <c r="B36" s="14" t="s">
        <v>23</v>
      </c>
      <c r="C36" s="15" t="n">
        <v>16</v>
      </c>
      <c r="D36" s="14" t="s">
        <v>16</v>
      </c>
      <c r="E36" s="10" t="n">
        <v>46.5</v>
      </c>
      <c r="F36" s="16" t="n">
        <f aca="false">IF(E36="","",E36/C36)</f>
        <v>2.90625</v>
      </c>
      <c r="G36" s="12"/>
      <c r="H36" s="16" t="str">
        <f aca="false">IF(OR(E36="",G36=""),"",E36*G36)</f>
        <v/>
      </c>
      <c r="I36" s="12" t="s">
        <v>21</v>
      </c>
    </row>
    <row r="37" customFormat="false" ht="15" hidden="false" customHeight="false" outlineLevel="0" collapsed="false">
      <c r="A37" s="13" t="s">
        <v>19</v>
      </c>
      <c r="B37" s="14" t="s">
        <v>23</v>
      </c>
      <c r="C37" s="15" t="n">
        <v>16</v>
      </c>
      <c r="D37" s="14" t="s">
        <v>17</v>
      </c>
      <c r="E37" s="10"/>
      <c r="F37" s="16" t="str">
        <f aca="false">IF(E37="","",E37/C37)</f>
        <v/>
      </c>
      <c r="G37" s="12"/>
      <c r="H37" s="16" t="str">
        <f aca="false">IF(OR(E37="",G37=""),"",E37*G37)</f>
        <v/>
      </c>
      <c r="I37" s="12"/>
    </row>
    <row r="38" customFormat="false" ht="15" hidden="false" customHeight="false" outlineLevel="0" collapsed="false">
      <c r="A38" s="13" t="s">
        <v>19</v>
      </c>
      <c r="B38" s="14" t="s">
        <v>23</v>
      </c>
      <c r="C38" s="15" t="n">
        <v>32</v>
      </c>
      <c r="D38" s="14" t="s">
        <v>15</v>
      </c>
      <c r="E38" s="10" t="n">
        <v>95.5</v>
      </c>
      <c r="F38" s="16" t="n">
        <f aca="false">IF(E38="","",E38/C38)</f>
        <v>2.984375</v>
      </c>
      <c r="G38" s="12"/>
      <c r="H38" s="16" t="str">
        <f aca="false">IF(OR(E38="",G38=""),"",E38*G38)</f>
        <v/>
      </c>
      <c r="I38" s="12" t="s">
        <v>22</v>
      </c>
    </row>
    <row r="39" customFormat="false" ht="15" hidden="false" customHeight="false" outlineLevel="0" collapsed="false">
      <c r="A39" s="13" t="s">
        <v>19</v>
      </c>
      <c r="B39" s="14" t="s">
        <v>23</v>
      </c>
      <c r="C39" s="15" t="n">
        <v>32</v>
      </c>
      <c r="D39" s="14" t="s">
        <v>16</v>
      </c>
      <c r="E39" s="10" t="n">
        <v>95.5</v>
      </c>
      <c r="F39" s="16" t="n">
        <f aca="false">IF(E39="","",E39/C39)</f>
        <v>2.984375</v>
      </c>
      <c r="G39" s="12"/>
      <c r="H39" s="16" t="str">
        <f aca="false">IF(OR(E39="",G39=""),"",E39*G39)</f>
        <v/>
      </c>
      <c r="I39" s="12" t="s">
        <v>22</v>
      </c>
    </row>
    <row r="40" customFormat="false" ht="15" hidden="false" customHeight="false" outlineLevel="0" collapsed="false">
      <c r="A40" s="13" t="s">
        <v>19</v>
      </c>
      <c r="B40" s="14" t="s">
        <v>23</v>
      </c>
      <c r="C40" s="15" t="n">
        <v>32</v>
      </c>
      <c r="D40" s="14" t="s">
        <v>17</v>
      </c>
      <c r="E40" s="10"/>
      <c r="F40" s="16" t="str">
        <f aca="false">IF(E40="","",E40/C40)</f>
        <v/>
      </c>
      <c r="G40" s="12"/>
      <c r="H40" s="16" t="str">
        <f aca="false">IF(OR(E40="",G40=""),"",E40*G40)</f>
        <v/>
      </c>
      <c r="I40" s="12"/>
    </row>
    <row r="41" customFormat="false" ht="15" hidden="false" customHeight="false" outlineLevel="0" collapsed="false">
      <c r="A41" s="7" t="s">
        <v>19</v>
      </c>
      <c r="B41" s="8" t="s">
        <v>24</v>
      </c>
      <c r="C41" s="9" t="n">
        <v>4</v>
      </c>
      <c r="D41" s="8" t="s">
        <v>15</v>
      </c>
      <c r="E41" s="10" t="n">
        <v>12</v>
      </c>
      <c r="F41" s="11" t="n">
        <f aca="false">IF(E41="","",E41/C41)</f>
        <v>3</v>
      </c>
      <c r="G41" s="12"/>
      <c r="H41" s="11" t="str">
        <f aca="false">IF(OR(E41="",G41=""),"",E41*G41)</f>
        <v/>
      </c>
      <c r="I41" s="12"/>
    </row>
    <row r="42" customFormat="false" ht="15" hidden="false" customHeight="false" outlineLevel="0" collapsed="false">
      <c r="A42" s="7" t="s">
        <v>19</v>
      </c>
      <c r="B42" s="8" t="s">
        <v>24</v>
      </c>
      <c r="C42" s="9" t="n">
        <v>4</v>
      </c>
      <c r="D42" s="8" t="s">
        <v>16</v>
      </c>
      <c r="E42" s="10" t="n">
        <v>12</v>
      </c>
      <c r="F42" s="11" t="n">
        <f aca="false">IF(E42="","",E42/C42)</f>
        <v>3</v>
      </c>
      <c r="G42" s="12"/>
      <c r="H42" s="11" t="str">
        <f aca="false">IF(OR(E42="",G42=""),"",E42*G42)</f>
        <v/>
      </c>
      <c r="I42" s="12"/>
    </row>
    <row r="43" customFormat="false" ht="15" hidden="false" customHeight="false" outlineLevel="0" collapsed="false">
      <c r="A43" s="7" t="s">
        <v>19</v>
      </c>
      <c r="B43" s="8" t="s">
        <v>24</v>
      </c>
      <c r="C43" s="9" t="n">
        <v>4</v>
      </c>
      <c r="D43" s="8" t="s">
        <v>17</v>
      </c>
      <c r="E43" s="10" t="n">
        <v>12</v>
      </c>
      <c r="F43" s="11" t="n">
        <f aca="false">IF(E43="","",E43/C43)</f>
        <v>3</v>
      </c>
      <c r="G43" s="12"/>
      <c r="H43" s="11" t="str">
        <f aca="false">IF(OR(E43="",G43=""),"",E43*G43)</f>
        <v/>
      </c>
      <c r="I43" s="12"/>
    </row>
    <row r="44" customFormat="false" ht="15" hidden="false" customHeight="false" outlineLevel="0" collapsed="false">
      <c r="A44" s="7" t="s">
        <v>19</v>
      </c>
      <c r="B44" s="8" t="s">
        <v>24</v>
      </c>
      <c r="C44" s="9" t="n">
        <v>8</v>
      </c>
      <c r="D44" s="8" t="s">
        <v>15</v>
      </c>
      <c r="E44" s="10" t="n">
        <v>23.5</v>
      </c>
      <c r="F44" s="11" t="n">
        <f aca="false">IF(E44="","",E44/C44)</f>
        <v>2.9375</v>
      </c>
      <c r="G44" s="12"/>
      <c r="H44" s="11" t="str">
        <f aca="false">IF(OR(E44="",G44=""),"",E44*G44)</f>
        <v/>
      </c>
      <c r="I44" s="12"/>
    </row>
    <row r="45" customFormat="false" ht="15" hidden="false" customHeight="false" outlineLevel="0" collapsed="false">
      <c r="A45" s="7" t="s">
        <v>19</v>
      </c>
      <c r="B45" s="8" t="s">
        <v>24</v>
      </c>
      <c r="C45" s="9" t="n">
        <v>8</v>
      </c>
      <c r="D45" s="8" t="s">
        <v>16</v>
      </c>
      <c r="E45" s="10" t="n">
        <v>23.5</v>
      </c>
      <c r="F45" s="11" t="n">
        <f aca="false">IF(E45="","",E45/C45)</f>
        <v>2.9375</v>
      </c>
      <c r="G45" s="12"/>
      <c r="H45" s="11" t="str">
        <f aca="false">IF(OR(E45="",G45=""),"",E45*G45)</f>
        <v/>
      </c>
      <c r="I45" s="12"/>
    </row>
    <row r="46" customFormat="false" ht="15" hidden="false" customHeight="false" outlineLevel="0" collapsed="false">
      <c r="A46" s="7" t="s">
        <v>19</v>
      </c>
      <c r="B46" s="8" t="s">
        <v>24</v>
      </c>
      <c r="C46" s="9" t="n">
        <v>8</v>
      </c>
      <c r="D46" s="8" t="s">
        <v>17</v>
      </c>
      <c r="E46" s="10"/>
      <c r="F46" s="11" t="str">
        <f aca="false">IF(E46="","",E46/C46)</f>
        <v/>
      </c>
      <c r="G46" s="12"/>
      <c r="H46" s="11" t="str">
        <f aca="false">IF(OR(E46="",G46=""),"",E46*G46)</f>
        <v/>
      </c>
      <c r="I46" s="12"/>
    </row>
    <row r="47" customFormat="false" ht="15" hidden="false" customHeight="false" outlineLevel="0" collapsed="false">
      <c r="A47" s="7" t="s">
        <v>19</v>
      </c>
      <c r="B47" s="8" t="s">
        <v>24</v>
      </c>
      <c r="C47" s="9" t="n">
        <v>16</v>
      </c>
      <c r="D47" s="8" t="s">
        <v>15</v>
      </c>
      <c r="E47" s="10" t="n">
        <v>49.5</v>
      </c>
      <c r="F47" s="11" t="n">
        <f aca="false">IF(E47="","",E47/C47)</f>
        <v>3.09375</v>
      </c>
      <c r="G47" s="12"/>
      <c r="H47" s="11" t="str">
        <f aca="false">IF(OR(E47="",G47=""),"",E47*G47)</f>
        <v/>
      </c>
      <c r="I47" s="12" t="s">
        <v>21</v>
      </c>
    </row>
    <row r="48" customFormat="false" ht="15" hidden="false" customHeight="false" outlineLevel="0" collapsed="false">
      <c r="A48" s="7" t="s">
        <v>19</v>
      </c>
      <c r="B48" s="8" t="s">
        <v>24</v>
      </c>
      <c r="C48" s="9" t="n">
        <v>16</v>
      </c>
      <c r="D48" s="8" t="s">
        <v>16</v>
      </c>
      <c r="E48" s="10" t="n">
        <v>49.5</v>
      </c>
      <c r="F48" s="11" t="n">
        <f aca="false">IF(E48="","",E48/C48)</f>
        <v>3.09375</v>
      </c>
      <c r="G48" s="12"/>
      <c r="H48" s="11" t="str">
        <f aca="false">IF(OR(E48="",G48=""),"",E48*G48)</f>
        <v/>
      </c>
      <c r="I48" s="12" t="s">
        <v>21</v>
      </c>
    </row>
    <row r="49" customFormat="false" ht="15" hidden="false" customHeight="false" outlineLevel="0" collapsed="false">
      <c r="A49" s="7" t="s">
        <v>19</v>
      </c>
      <c r="B49" s="8" t="s">
        <v>24</v>
      </c>
      <c r="C49" s="9" t="n">
        <v>16</v>
      </c>
      <c r="D49" s="8" t="s">
        <v>17</v>
      </c>
      <c r="E49" s="10"/>
      <c r="F49" s="11" t="str">
        <f aca="false">IF(E49="","",E49/C49)</f>
        <v/>
      </c>
      <c r="G49" s="12"/>
      <c r="H49" s="11" t="str">
        <f aca="false">IF(OR(E49="",G49=""),"",E49*G49)</f>
        <v/>
      </c>
      <c r="I49" s="12"/>
    </row>
    <row r="50" customFormat="false" ht="15" hidden="false" customHeight="false" outlineLevel="0" collapsed="false">
      <c r="A50" s="7" t="s">
        <v>19</v>
      </c>
      <c r="B50" s="8" t="s">
        <v>24</v>
      </c>
      <c r="C50" s="9" t="n">
        <v>32</v>
      </c>
      <c r="D50" s="8" t="s">
        <v>15</v>
      </c>
      <c r="E50" s="10" t="n">
        <v>101.5</v>
      </c>
      <c r="F50" s="11" t="n">
        <f aca="false">IF(E50="","",E50/C50)</f>
        <v>3.171875</v>
      </c>
      <c r="G50" s="12"/>
      <c r="H50" s="11" t="str">
        <f aca="false">IF(OR(E50="",G50=""),"",E50*G50)</f>
        <v/>
      </c>
      <c r="I50" s="12" t="s">
        <v>22</v>
      </c>
    </row>
    <row r="51" customFormat="false" ht="15" hidden="false" customHeight="false" outlineLevel="0" collapsed="false">
      <c r="A51" s="7" t="s">
        <v>19</v>
      </c>
      <c r="B51" s="8" t="s">
        <v>24</v>
      </c>
      <c r="C51" s="9" t="n">
        <v>32</v>
      </c>
      <c r="D51" s="8" t="s">
        <v>16</v>
      </c>
      <c r="E51" s="10" t="n">
        <v>101.5</v>
      </c>
      <c r="F51" s="11" t="n">
        <f aca="false">IF(E51="","",E51/C51)</f>
        <v>3.171875</v>
      </c>
      <c r="G51" s="12"/>
      <c r="H51" s="11" t="str">
        <f aca="false">IF(OR(E51="",G51=""),"",E51*G51)</f>
        <v/>
      </c>
      <c r="I51" s="12" t="s">
        <v>22</v>
      </c>
    </row>
    <row r="52" customFormat="false" ht="15" hidden="false" customHeight="false" outlineLevel="0" collapsed="false">
      <c r="A52" s="7" t="s">
        <v>19</v>
      </c>
      <c r="B52" s="8" t="s">
        <v>24</v>
      </c>
      <c r="C52" s="9" t="n">
        <v>32</v>
      </c>
      <c r="D52" s="8" t="s">
        <v>17</v>
      </c>
      <c r="E52" s="10"/>
      <c r="F52" s="11" t="str">
        <f aca="false">IF(E52="","",E52/C52)</f>
        <v/>
      </c>
      <c r="G52" s="12"/>
      <c r="H52" s="11" t="str">
        <f aca="false">IF(OR(E52="",G52=""),"",E52*G52)</f>
        <v/>
      </c>
      <c r="I52" s="12"/>
    </row>
    <row r="53" customFormat="false" ht="15" hidden="false" customHeight="false" outlineLevel="0" collapsed="false">
      <c r="A53" s="13" t="s">
        <v>19</v>
      </c>
      <c r="B53" s="14" t="s">
        <v>25</v>
      </c>
      <c r="C53" s="15" t="n">
        <v>4</v>
      </c>
      <c r="D53" s="14" t="s">
        <v>15</v>
      </c>
      <c r="E53" s="10" t="n">
        <v>13.5</v>
      </c>
      <c r="F53" s="16" t="n">
        <f aca="false">IF(E53="","",E53/C53)</f>
        <v>3.375</v>
      </c>
      <c r="G53" s="12"/>
      <c r="H53" s="16" t="str">
        <f aca="false">IF(OR(E53="",G53=""),"",E53*G53)</f>
        <v/>
      </c>
      <c r="I53" s="12"/>
    </row>
    <row r="54" customFormat="false" ht="15" hidden="false" customHeight="false" outlineLevel="0" collapsed="false">
      <c r="A54" s="13" t="s">
        <v>19</v>
      </c>
      <c r="B54" s="14" t="s">
        <v>25</v>
      </c>
      <c r="C54" s="15" t="n">
        <v>4</v>
      </c>
      <c r="D54" s="14" t="s">
        <v>16</v>
      </c>
      <c r="E54" s="10" t="n">
        <v>13.5</v>
      </c>
      <c r="F54" s="16" t="n">
        <f aca="false">IF(E54="","",E54/C54)</f>
        <v>3.375</v>
      </c>
      <c r="G54" s="12"/>
      <c r="H54" s="16" t="str">
        <f aca="false">IF(OR(E54="",G54=""),"",E54*G54)</f>
        <v/>
      </c>
      <c r="I54" s="12"/>
    </row>
    <row r="55" customFormat="false" ht="15" hidden="false" customHeight="false" outlineLevel="0" collapsed="false">
      <c r="A55" s="13" t="s">
        <v>19</v>
      </c>
      <c r="B55" s="14" t="s">
        <v>25</v>
      </c>
      <c r="C55" s="15" t="n">
        <v>4</v>
      </c>
      <c r="D55" s="14" t="s">
        <v>17</v>
      </c>
      <c r="E55" s="10" t="n">
        <v>13.5</v>
      </c>
      <c r="F55" s="16" t="n">
        <f aca="false">IF(E55="","",E55/C55)</f>
        <v>3.375</v>
      </c>
      <c r="G55" s="12"/>
      <c r="H55" s="16" t="str">
        <f aca="false">IF(OR(E55="",G55=""),"",E55*G55)</f>
        <v/>
      </c>
      <c r="I55" s="12"/>
    </row>
    <row r="56" customFormat="false" ht="15" hidden="false" customHeight="false" outlineLevel="0" collapsed="false">
      <c r="A56" s="13" t="s">
        <v>19</v>
      </c>
      <c r="B56" s="14" t="s">
        <v>25</v>
      </c>
      <c r="C56" s="15" t="n">
        <v>8</v>
      </c>
      <c r="D56" s="14" t="s">
        <v>15</v>
      </c>
      <c r="E56" s="10" t="n">
        <v>25</v>
      </c>
      <c r="F56" s="16" t="n">
        <f aca="false">IF(E56="","",E56/C56)</f>
        <v>3.125</v>
      </c>
      <c r="G56" s="12"/>
      <c r="H56" s="16" t="str">
        <f aca="false">IF(OR(E56="",G56=""),"",E56*G56)</f>
        <v/>
      </c>
      <c r="I56" s="12"/>
    </row>
    <row r="57" customFormat="false" ht="15" hidden="false" customHeight="false" outlineLevel="0" collapsed="false">
      <c r="A57" s="13" t="s">
        <v>19</v>
      </c>
      <c r="B57" s="14" t="s">
        <v>25</v>
      </c>
      <c r="C57" s="15" t="n">
        <v>8</v>
      </c>
      <c r="D57" s="14" t="s">
        <v>16</v>
      </c>
      <c r="E57" s="10" t="n">
        <v>25</v>
      </c>
      <c r="F57" s="16" t="n">
        <f aca="false">IF(E57="","",E57/C57)</f>
        <v>3.125</v>
      </c>
      <c r="G57" s="12"/>
      <c r="H57" s="16" t="str">
        <f aca="false">IF(OR(E57="",G57=""),"",E57*G57)</f>
        <v/>
      </c>
      <c r="I57" s="12"/>
    </row>
    <row r="58" customFormat="false" ht="15" hidden="false" customHeight="false" outlineLevel="0" collapsed="false">
      <c r="A58" s="13" t="s">
        <v>19</v>
      </c>
      <c r="B58" s="14" t="s">
        <v>25</v>
      </c>
      <c r="C58" s="15" t="n">
        <v>8</v>
      </c>
      <c r="D58" s="14" t="s">
        <v>17</v>
      </c>
      <c r="E58" s="10"/>
      <c r="F58" s="16" t="str">
        <f aca="false">IF(E58="","",E58/C58)</f>
        <v/>
      </c>
      <c r="G58" s="12"/>
      <c r="H58" s="16" t="str">
        <f aca="false">IF(OR(E58="",G58=""),"",E58*G58)</f>
        <v/>
      </c>
      <c r="I58" s="12"/>
    </row>
    <row r="59" customFormat="false" ht="15" hidden="false" customHeight="false" outlineLevel="0" collapsed="false">
      <c r="A59" s="13" t="s">
        <v>19</v>
      </c>
      <c r="B59" s="14" t="s">
        <v>25</v>
      </c>
      <c r="C59" s="15" t="n">
        <v>16</v>
      </c>
      <c r="D59" s="14" t="s">
        <v>15</v>
      </c>
      <c r="E59" s="10" t="n">
        <v>52.5</v>
      </c>
      <c r="F59" s="16" t="n">
        <f aca="false">IF(E59="","",E59/C59)</f>
        <v>3.28125</v>
      </c>
      <c r="G59" s="12"/>
      <c r="H59" s="16" t="str">
        <f aca="false">IF(OR(E59="",G59=""),"",E59*G59)</f>
        <v/>
      </c>
      <c r="I59" s="12" t="s">
        <v>21</v>
      </c>
    </row>
    <row r="60" customFormat="false" ht="15" hidden="false" customHeight="false" outlineLevel="0" collapsed="false">
      <c r="A60" s="13" t="s">
        <v>19</v>
      </c>
      <c r="B60" s="14" t="s">
        <v>25</v>
      </c>
      <c r="C60" s="15" t="n">
        <v>16</v>
      </c>
      <c r="D60" s="14" t="s">
        <v>16</v>
      </c>
      <c r="E60" s="10" t="n">
        <v>52.5</v>
      </c>
      <c r="F60" s="16" t="n">
        <f aca="false">IF(E60="","",E60/C60)</f>
        <v>3.28125</v>
      </c>
      <c r="G60" s="12"/>
      <c r="H60" s="16" t="str">
        <f aca="false">IF(OR(E60="",G60=""),"",E60*G60)</f>
        <v/>
      </c>
      <c r="I60" s="12" t="s">
        <v>21</v>
      </c>
    </row>
    <row r="61" customFormat="false" ht="15" hidden="false" customHeight="false" outlineLevel="0" collapsed="false">
      <c r="A61" s="13" t="s">
        <v>19</v>
      </c>
      <c r="B61" s="14" t="s">
        <v>25</v>
      </c>
      <c r="C61" s="15" t="n">
        <v>16</v>
      </c>
      <c r="D61" s="14" t="s">
        <v>17</v>
      </c>
      <c r="E61" s="10"/>
      <c r="F61" s="16" t="str">
        <f aca="false">IF(E61="","",E61/C61)</f>
        <v/>
      </c>
      <c r="G61" s="12"/>
      <c r="H61" s="16" t="str">
        <f aca="false">IF(OR(E61="",G61=""),"",E61*G61)</f>
        <v/>
      </c>
      <c r="I61" s="12"/>
    </row>
    <row r="62" customFormat="false" ht="15" hidden="false" customHeight="false" outlineLevel="0" collapsed="false">
      <c r="A62" s="13" t="s">
        <v>19</v>
      </c>
      <c r="B62" s="14" t="s">
        <v>25</v>
      </c>
      <c r="C62" s="15" t="n">
        <v>32</v>
      </c>
      <c r="D62" s="14" t="s">
        <v>15</v>
      </c>
      <c r="E62" s="10" t="n">
        <v>107.5</v>
      </c>
      <c r="F62" s="16" t="n">
        <f aca="false">IF(E62="","",E62/C62)</f>
        <v>3.359375</v>
      </c>
      <c r="G62" s="12"/>
      <c r="H62" s="16" t="str">
        <f aca="false">IF(OR(E62="",G62=""),"",E62*G62)</f>
        <v/>
      </c>
      <c r="I62" s="12" t="s">
        <v>22</v>
      </c>
    </row>
    <row r="63" customFormat="false" ht="15" hidden="false" customHeight="false" outlineLevel="0" collapsed="false">
      <c r="A63" s="13" t="s">
        <v>19</v>
      </c>
      <c r="B63" s="14" t="s">
        <v>25</v>
      </c>
      <c r="C63" s="15" t="n">
        <v>32</v>
      </c>
      <c r="D63" s="14" t="s">
        <v>16</v>
      </c>
      <c r="E63" s="10" t="n">
        <v>107.5</v>
      </c>
      <c r="F63" s="16" t="n">
        <f aca="false">IF(E63="","",E63/C63)</f>
        <v>3.359375</v>
      </c>
      <c r="G63" s="12"/>
      <c r="H63" s="16" t="str">
        <f aca="false">IF(OR(E63="",G63=""),"",E63*G63)</f>
        <v/>
      </c>
      <c r="I63" s="12" t="s">
        <v>22</v>
      </c>
    </row>
    <row r="64" customFormat="false" ht="15" hidden="false" customHeight="false" outlineLevel="0" collapsed="false">
      <c r="A64" s="13" t="s">
        <v>19</v>
      </c>
      <c r="B64" s="14" t="s">
        <v>25</v>
      </c>
      <c r="C64" s="15" t="n">
        <v>32</v>
      </c>
      <c r="D64" s="14" t="s">
        <v>17</v>
      </c>
      <c r="E64" s="10"/>
      <c r="F64" s="16" t="str">
        <f aca="false">IF(E64="","",E64/C64)</f>
        <v/>
      </c>
      <c r="G64" s="12"/>
      <c r="H64" s="16" t="str">
        <f aca="false">IF(OR(E64="",G64=""),"",E64*G64)</f>
        <v/>
      </c>
      <c r="I64" s="12"/>
    </row>
  </sheetData>
  <autoFilter ref="A4:I64"/>
  <dataValidations count="1">
    <dataValidation allowBlank="true" errorStyle="stop" operator="between" showDropDown="false" showErrorMessage="false" showInputMessage="false" sqref="D5:D1000" type="list">
      <formula1>"Desktop UDIMM (Non-ECC),Laptop SODIMM (Non-ECC),Server RDIMM (Registered ECC)"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7" t="s">
        <v>26</v>
      </c>
    </row>
    <row r="2" customFormat="false" ht="15" hidden="false" customHeight="false" outlineLevel="0" collapsed="false">
      <c r="A2" s="18"/>
    </row>
    <row r="3" customFormat="false" ht="15" hidden="false" customHeight="false" outlineLevel="0" collapsed="false">
      <c r="A3" s="18" t="s">
        <v>27</v>
      </c>
    </row>
    <row r="4" customFormat="false" ht="15" hidden="false" customHeight="false" outlineLevel="0" collapsed="false">
      <c r="A4" s="18" t="s">
        <v>28</v>
      </c>
    </row>
    <row r="5" customFormat="false" ht="15" hidden="false" customHeight="false" outlineLevel="0" collapsed="false">
      <c r="A5" s="18" t="s">
        <v>29</v>
      </c>
    </row>
    <row r="6" customFormat="false" ht="15" hidden="false" customHeight="false" outlineLevel="0" collapsed="false">
      <c r="A6" s="18" t="s">
        <v>30</v>
      </c>
    </row>
    <row r="7" customFormat="false" ht="15" hidden="false" customHeight="false" outlineLevel="0" collapsed="false">
      <c r="A7" s="18" t="s">
        <v>31</v>
      </c>
    </row>
    <row r="8" customFormat="false" ht="15" hidden="false" customHeight="false" outlineLevel="0" collapsed="false">
      <c r="A8" s="18" t="s">
        <v>32</v>
      </c>
    </row>
    <row r="9" customFormat="false" ht="15" hidden="false" customHeight="false" outlineLevel="0" collapsed="false">
      <c r="A9" s="18" t="s">
        <v>33</v>
      </c>
    </row>
    <row r="10" customFormat="false" ht="15" hidden="false" customHeight="false" outlineLevel="0" collapsed="false">
      <c r="A10" s="18" t="s">
        <v>34</v>
      </c>
    </row>
    <row r="11" customFormat="false" ht="15" hidden="false" customHeight="false" outlineLevel="0" collapsed="false">
      <c r="A11" s="18"/>
    </row>
    <row r="12" customFormat="false" ht="15" hidden="false" customHeight="false" outlineLevel="0" collapsed="false">
      <c r="A12" s="19" t="s">
        <v>35</v>
      </c>
    </row>
    <row r="13" customFormat="false" ht="15" hidden="false" customHeight="false" outlineLevel="0" collapsed="false">
      <c r="A13" s="18" t="s">
        <v>36</v>
      </c>
    </row>
    <row r="14" customFormat="false" ht="15" hidden="false" customHeight="false" outlineLevel="0" collapsed="false">
      <c r="A14" s="18" t="s">
        <v>37</v>
      </c>
    </row>
    <row r="15" customFormat="false" ht="15" hidden="false" customHeight="false" outlineLevel="0" collapsed="false">
      <c r="A15" s="18" t="s">
        <v>38</v>
      </c>
    </row>
    <row r="16" customFormat="false" ht="15" hidden="false" customHeight="false" outlineLevel="0" collapsed="false">
      <c r="A16" s="18"/>
    </row>
    <row r="17" customFormat="false" ht="15" hidden="false" customHeight="false" outlineLevel="0" collapsed="false">
      <c r="A17" s="19" t="s">
        <v>39</v>
      </c>
    </row>
    <row r="18" customFormat="false" ht="15" hidden="false" customHeight="false" outlineLevel="0" collapsed="false">
      <c r="A18" s="18" t="s">
        <v>40</v>
      </c>
    </row>
    <row r="19" customFormat="false" ht="15" hidden="false" customHeight="false" outlineLevel="0" collapsed="false">
      <c r="A19" s="18" t="s">
        <v>41</v>
      </c>
    </row>
    <row r="20" customFormat="false" ht="15" hidden="false" customHeight="false" outlineLevel="0" collapsed="false">
      <c r="A20" s="18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2026-10-18T10:34:09Z</dcterms:created>
  <dc:creator>openpyxl</dc:creator>
  <dc:description/>
  <dc:language>en-US</dc:language>
  <cp:lastModifiedBy/>
  <dcterms:modified xsi:type="dcterms:W3CDTF">2026-10-18T10:34:09Z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