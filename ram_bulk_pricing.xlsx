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 &amp; Cisco" sheetId="6" state="visible" r:id="rId8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<sst xmlns="http://schemas.openxmlformats.org/spreadsheetml/2006/main" count="531" uniqueCount="68">
  <si>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</si>
  <si>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</si>
  <si>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</si>
  <si>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</si>
  <si>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</si>
  <si>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</si>
  <si>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</si>
  <si>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</si>
  <si>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</si>
  <si>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</si>
  <si>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</si>
  <si>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</si>
  <si>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</si>
  <si>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</si>
  <si>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</si>
  <si>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</si>
  <si>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</si>
  <si>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</si>
  <si>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</si>
  <si>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</si>
  <si>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</si>
  <si>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</si>
  <si>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</si>
  <si>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</si>
  <si>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</si>
  <si>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</si>
  <si>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</si>
  <si>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</si>
  <si>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</si>
  <si>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</si>
  <si>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</si>
  <si>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DDR4-3200 server ($200),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</si>
  <si>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</si>
  <si>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</si>
  <si>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</si>
  <si>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</si>
  <si>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</si>
  <si>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</si>
  <si>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</si>
  <si>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</si>
  <si>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</si>
  <si>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</si>
  <si>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</si>
  <si>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</si>
  <si>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</si>
  <si>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</si>
  <si>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</si>
  <si>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</si>
  <si>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</si>
  <si>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</si>
  <si>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</si>
  <si>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</si>
  <si>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</si>
  <si>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</si>
  <si>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</si>
  <si>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</si>
  <si>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</si>
  <si>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</si>
  <si>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</si>
  <si>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</si>
  <si>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</si>
  <si>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</si>
  <si>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</si>
  <si>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</si>
  <si>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</si>
  <si>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&amp; Cisco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</si>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</sst>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200</v>
      </c>
      <c r="F64" s="16" t="n">
        <f aca="false">IF(E64="","",E64/C64)</f>
        <v>6.25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IF(OR(F5="",G5=""),"",F5*G5)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IF(OR(F6="",G6=""),"",F6*G6)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IF(OR(F7="",G7=""),"",F7*G7)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IF(OR(F8="",G8=""),"",F8*G8)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IF(OR(F9="",G9=""),"",F9*G9)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IF(OR(F10="",G10=""),"",F10*G10)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IF(OR(F11="",G11=""),"",F11*G11)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IF(OR(F12="",G12=""),"",F12*G12)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IF(OR(F14="",G14=""),"",F14*G14)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IF(OR(F15="",G15=""),"",F15*G15)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IF(OR(F16="",G16=""),"",F16*G16)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IF(OR(F17="",G17=""),"",F17*G17)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IF(OR(F18="",G18=""),"",F18*G18)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IF(OR(F19="",G19=""),"",F19*G19)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IF(OR(F20="",G20=""),"",F20*G20)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IF(OR(F21="",G21=""),"",F21*G21)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IF(OR(F25="",G25=""),"",F25*G25)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IF(OR(F26="",G26=""),"",F26*G26)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IF(OR(F27="",G27=""),"",F27*G27)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IF(OR(F5="",G5=""),"",F5*G5)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IF(OR(F6="",G6=""),"",F6*G6)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IF(OR(F7="",G7=""),"",F7*G7)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IF(OR(F8="",G8=""),"",F8*G8)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IF(OR(F9="",G9=""),"",F9*G9)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IF(OR(F10="",G10=""),"",F10*G10)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IF(OR(F11="",G11=""),"",F11*G11)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IF(OR(F12="",G12=""),"",F12*G12)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IF(OR(F14="",G14=""),"",F14*G14)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IF(OR(F15="",G15=""),"",F15*G15)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IF(OR(F16="",G16=""),"",F16*G16)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IF(OR(F17="",G17=""),"",F17*G17)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IF(OR(F18="",G18=""),"",F18*G18)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IF(OR(F19="",G19=""),"",F19*G19)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IF(OR(F20="",G20=""),"",F20*G20)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IF(OR(F21="",G21=""),"",F21*G21)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IF(OR(F25="",G25=""),"",F25*G25)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56</v>
      </c>
      <c r="C2" s="4" t="s">
        <v>45</v>
      </c>
      <c r="D2" s="5" t="n">
        <f aca="false">SUM(H5:H1000)</f>
        <v>1408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24</v>
      </c>
      <c r="D5" s="9" t="n">
        <v>4</v>
      </c>
      <c r="E5" s="8" t="s">
        <v>16</v>
      </c>
      <c r="F5" s="22" t="n">
        <v>3</v>
      </c>
      <c r="G5" s="23" t="n">
        <f aca="false">SUMIFS('Bulk Pricing'!$E:$E,'Bulk Pricing'!$B:$B,C5,'Bulk Pricing'!$C:$C,D5,'Bulk Pricing'!$D:$D,E5)</f>
        <v>12</v>
      </c>
      <c r="H5" s="11" t="n">
        <f aca="false">IF(OR(F5="",G5=""),"",F5*G5)</f>
        <v>36</v>
      </c>
      <c r="I5" s="8"/>
      <c r="K5" s="8" t="s">
        <v>62</v>
      </c>
      <c r="L5" s="7" t="n">
        <f aca="false">SUMIFS($F$5:$F$1000,$B$5:$B$1000,K5)</f>
        <v>1</v>
      </c>
      <c r="M5" s="11" t="n">
        <f aca="false">SUMIFS($H$5:$H$1000,$B$5:$B$1000,K5)</f>
        <v>12</v>
      </c>
    </row>
    <row r="6" customFormat="false" ht="15" hidden="false" customHeight="false" outlineLevel="0" collapsed="false">
      <c r="A6" s="7" t="n">
        <v>2</v>
      </c>
      <c r="B6" s="8" t="s">
        <v>61</v>
      </c>
      <c r="C6" s="8" t="s">
        <v>24</v>
      </c>
      <c r="D6" s="9" t="n">
        <v>8</v>
      </c>
      <c r="E6" s="8" t="s">
        <v>16</v>
      </c>
      <c r="F6" s="22" t="n">
        <v>2</v>
      </c>
      <c r="G6" s="23" t="n">
        <f aca="false">SUMIFS('Bulk Pricing'!$E:$E,'Bulk Pricing'!$B:$B,C6,'Bulk Pricing'!$C:$C,D6,'Bulk Pricing'!$D:$D,E6)</f>
        <v>23.5</v>
      </c>
      <c r="H6" s="11" t="n">
        <f aca="false">IF(OR(F6="",G6=""),"",F6*G6)</f>
        <v>47</v>
      </c>
      <c r="I6" s="8"/>
      <c r="K6" s="8" t="s">
        <v>64</v>
      </c>
      <c r="L6" s="7" t="n">
        <f aca="false">SUMIFS($F$5:$F$1000,$B$5:$B$1000,K6)</f>
        <v>2</v>
      </c>
      <c r="M6" s="11" t="n">
        <f aca="false">SUMIFS($H$5:$H$1000,$B$5:$B$1000,K6)</f>
        <v>50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24</v>
      </c>
      <c r="D7" s="9" t="n">
        <v>16</v>
      </c>
      <c r="E7" s="8" t="s">
        <v>16</v>
      </c>
      <c r="F7" s="22" t="n">
        <v>9</v>
      </c>
      <c r="G7" s="23" t="n">
        <f aca="false">SUMIFS('Bulk Pricing'!$E:$E,'Bulk Pricing'!$B:$B,C7,'Bulk Pricing'!$C:$C,D7,'Bulk Pricing'!$D:$D,E7)</f>
        <v>49.5</v>
      </c>
      <c r="H7" s="11" t="n">
        <f aca="false">IF(OR(F7="",G7=""),"",F7*G7)</f>
        <v>445.5</v>
      </c>
      <c r="I7" s="8"/>
      <c r="K7" s="8" t="s">
        <v>54</v>
      </c>
      <c r="L7" s="7" t="n">
        <f aca="false">SUMIFS($F$5:$F$1000,$B$5:$B$1000,K7)</f>
        <v>8</v>
      </c>
      <c r="M7" s="11" t="n">
        <f aca="false">SUMIFS($H$5:$H$1000,$B$5:$B$1000,K7)</f>
        <v>143.5</v>
      </c>
    </row>
    <row r="8" customFormat="false" ht="15" hidden="false" customHeight="false" outlineLevel="0" collapsed="false">
      <c r="A8" s="7" t="n">
        <v>4</v>
      </c>
      <c r="B8" s="8" t="s">
        <v>51</v>
      </c>
      <c r="C8" s="8" t="s">
        <v>24</v>
      </c>
      <c r="D8" s="9" t="n">
        <v>8</v>
      </c>
      <c r="E8" s="8" t="s">
        <v>16</v>
      </c>
      <c r="F8" s="22" t="n">
        <v>1</v>
      </c>
      <c r="G8" s="23" t="n">
        <f aca="false">SUMIFS('Bulk Pricing'!$E:$E,'Bulk Pricing'!$B:$B,C8,'Bulk Pricing'!$C:$C,D8,'Bulk Pricing'!$D:$D,E8)</f>
        <v>23.5</v>
      </c>
      <c r="H8" s="11" t="n">
        <f aca="false">IF(OR(F8="",G8=""),"",F8*G8)</f>
        <v>23.5</v>
      </c>
      <c r="I8" s="8"/>
      <c r="K8" s="8" t="s">
        <v>61</v>
      </c>
      <c r="L8" s="7" t="n">
        <f aca="false">SUMIFS($F$5:$F$1000,$B$5:$B$1000,K8)</f>
        <v>11</v>
      </c>
      <c r="M8" s="11" t="n">
        <f aca="false">SUMIFS($H$5:$H$1000,$B$5:$B$1000,K8)</f>
        <v>315.5</v>
      </c>
    </row>
    <row r="9" customFormat="false" ht="15" hidden="false" customHeight="false" outlineLevel="0" collapsed="false">
      <c r="A9" s="7" t="n">
        <v>5</v>
      </c>
      <c r="B9" s="8" t="s">
        <v>51</v>
      </c>
      <c r="C9" s="8" t="s">
        <v>24</v>
      </c>
      <c r="D9" s="9" t="n">
        <v>4</v>
      </c>
      <c r="E9" s="8" t="s">
        <v>16</v>
      </c>
      <c r="F9" s="22" t="n">
        <v>1</v>
      </c>
      <c r="G9" s="23" t="n">
        <f aca="false">SUMIFS('Bulk Pricing'!$E:$E,'Bulk Pricing'!$B:$B,C9,'Bulk Pricing'!$C:$C,D9,'Bulk Pricing'!$D:$D,E9)</f>
        <v>12</v>
      </c>
      <c r="H9" s="11" t="n">
        <f aca="false">IF(OR(F9="",G9=""),"",F9*G9)</f>
        <v>12</v>
      </c>
      <c r="I9" s="8"/>
      <c r="K9" s="8" t="s">
        <v>58</v>
      </c>
      <c r="L9" s="7" t="n">
        <f aca="false">SUMIFS($F$5:$F$1000,$B$5:$B$1000,K9)</f>
        <v>1</v>
      </c>
      <c r="M9" s="11" t="n">
        <f aca="false">SUMIFS($H$5:$H$1000,$B$5:$B$1000,K9)</f>
        <v>23.5</v>
      </c>
    </row>
    <row r="10" customFormat="false" ht="15" hidden="false" customHeight="false" outlineLevel="0" collapsed="false">
      <c r="A10" s="7" t="n">
        <v>6</v>
      </c>
      <c r="B10" s="8" t="s">
        <v>56</v>
      </c>
      <c r="C10" s="8" t="s">
        <v>24</v>
      </c>
      <c r="D10" s="9" t="n">
        <v>4</v>
      </c>
      <c r="E10" s="8" t="s">
        <v>16</v>
      </c>
      <c r="F10" s="22" t="n">
        <v>4</v>
      </c>
      <c r="G10" s="23" t="n">
        <f aca="false">SUMIFS('Bulk Pricing'!$E:$E,'Bulk Pricing'!$B:$B,C10,'Bulk Pricing'!$C:$C,D10,'Bulk Pricing'!$D:$D,E10)</f>
        <v>12</v>
      </c>
      <c r="H10" s="11" t="n">
        <f aca="false">IF(OR(F10="",G10=""),"",F10*G10)</f>
        <v>48</v>
      </c>
      <c r="I10" s="8"/>
      <c r="K10" s="8" t="s">
        <v>51</v>
      </c>
      <c r="L10" s="7" t="n">
        <f aca="false">SUMIFS($F$5:$F$1000,$B$5:$B$1000,K10)</f>
        <v>18</v>
      </c>
      <c r="M10" s="11" t="n">
        <f aca="false">SUMIFS($H$5:$H$1000,$B$5:$B$1000,K10)</f>
        <v>585.5</v>
      </c>
    </row>
    <row r="11" customFormat="false" ht="15" hidden="false" customHeight="false" outlineLevel="0" collapsed="false">
      <c r="A11" s="7" t="n">
        <v>7</v>
      </c>
      <c r="B11" s="8" t="s">
        <v>56</v>
      </c>
      <c r="C11" s="8" t="s">
        <v>24</v>
      </c>
      <c r="D11" s="9" t="n">
        <v>8</v>
      </c>
      <c r="E11" s="8" t="s">
        <v>16</v>
      </c>
      <c r="F11" s="22" t="n">
        <v>6</v>
      </c>
      <c r="G11" s="23" t="n">
        <f aca="false">SUMIFS('Bulk Pricing'!$E:$E,'Bulk Pricing'!$B:$B,C11,'Bulk Pricing'!$C:$C,D11,'Bulk Pricing'!$D:$D,E11)</f>
        <v>23.5</v>
      </c>
      <c r="H11" s="11" t="n">
        <f aca="false">IF(OR(F11="",G11=""),"",F11*G11)</f>
        <v>141</v>
      </c>
      <c r="I11" s="8"/>
      <c r="K11" s="8" t="s">
        <v>56</v>
      </c>
      <c r="L11" s="7" t="n">
        <f aca="false">SUMIFS($F$5:$F$1000,$B$5:$B$1000,K11)</f>
        <v>15</v>
      </c>
      <c r="M11" s="11" t="n">
        <f aca="false">SUMIFS($H$5:$H$1000,$B$5:$B$1000,K11)</f>
        <v>278</v>
      </c>
    </row>
    <row r="12" customFormat="false" ht="15" hidden="false" customHeight="false" outlineLevel="0" collapsed="false">
      <c r="A12" s="7" t="n">
        <v>8</v>
      </c>
      <c r="B12" s="8" t="s">
        <v>58</v>
      </c>
      <c r="C12" s="8" t="s">
        <v>24</v>
      </c>
      <c r="D12" s="9" t="n">
        <v>8</v>
      </c>
      <c r="E12" s="8" t="s">
        <v>16</v>
      </c>
      <c r="F12" s="22" t="n">
        <v>1</v>
      </c>
      <c r="G12" s="23" t="n">
        <f aca="false">SUMIFS('Bulk Pricing'!$E:$E,'Bulk Pricing'!$B:$B,C12,'Bulk Pricing'!$C:$C,D12,'Bulk Pricing'!$D:$D,E12)</f>
        <v>23.5</v>
      </c>
      <c r="H12" s="11" t="n">
        <f aca="false">IF(OR(F12="",G12=""),"",F12*G12)</f>
        <v>23.5</v>
      </c>
      <c r="I12" s="8"/>
    </row>
    <row r="13" customFormat="false" ht="15" hidden="false" customHeight="false" outlineLevel="0" collapsed="false">
      <c r="A13" s="7" t="n">
        <v>9</v>
      </c>
      <c r="B13" s="8" t="s">
        <v>54</v>
      </c>
      <c r="C13" s="8" t="s">
        <v>24</v>
      </c>
      <c r="D13" s="9" t="n">
        <v>8</v>
      </c>
      <c r="E13" s="8" t="s">
        <v>16</v>
      </c>
      <c r="F13" s="22" t="n">
        <v>2</v>
      </c>
      <c r="G13" s="23" t="n">
        <f aca="false">SUMIFS('Bulk Pricing'!$E:$E,'Bulk Pricing'!$B:$B,C13,'Bulk Pricing'!$C:$C,D13,'Bulk Pricing'!$D:$D,E13)</f>
        <v>23.5</v>
      </c>
      <c r="H13" s="11" t="n">
        <f aca="false">IF(OR(F13="",G13=""),"",F13*G13)</f>
        <v>47</v>
      </c>
      <c r="I13" s="8"/>
    </row>
    <row r="14" customFormat="false" ht="15" hidden="false" customHeight="false" outlineLevel="0" collapsed="false">
      <c r="A14" s="7" t="n">
        <v>10</v>
      </c>
      <c r="B14" s="8" t="s">
        <v>54</v>
      </c>
      <c r="C14" s="8" t="s">
        <v>24</v>
      </c>
      <c r="D14" s="9" t="n">
        <v>4</v>
      </c>
      <c r="E14" s="8" t="s">
        <v>15</v>
      </c>
      <c r="F14" s="22" t="n">
        <v>4</v>
      </c>
      <c r="G14" s="23" t="n">
        <f aca="false">SUMIFS('Bulk Pricing'!$E:$E,'Bulk Pricing'!$B:$B,C14,'Bulk Pricing'!$C:$C,D14,'Bulk Pricing'!$D:$D,E14)</f>
        <v>12</v>
      </c>
      <c r="H14" s="11" t="n">
        <f aca="false">IF(OR(F14="",G14=""),"",F14*G14)</f>
        <v>48</v>
      </c>
      <c r="I14" s="8"/>
    </row>
    <row r="15" customFormat="false" ht="15" hidden="false" customHeight="false" outlineLevel="0" collapsed="false">
      <c r="A15" s="7" t="n">
        <v>11</v>
      </c>
      <c r="B15" s="8" t="s">
        <v>54</v>
      </c>
      <c r="C15" s="8" t="s">
        <v>24</v>
      </c>
      <c r="D15" s="9" t="n">
        <v>8</v>
      </c>
      <c r="E15" s="8" t="s">
        <v>15</v>
      </c>
      <c r="F15" s="22" t="n">
        <v>1</v>
      </c>
      <c r="G15" s="23" t="n">
        <f aca="false">SUMIFS('Bulk Pricing'!$E:$E,'Bulk Pricing'!$B:$B,C15,'Bulk Pricing'!$C:$C,D15,'Bulk Pricing'!$D:$D,E15)</f>
        <v>23.5</v>
      </c>
      <c r="H15" s="11" t="n">
        <f aca="false">IF(OR(F15="",G15=""),"",F15*G15)</f>
        <v>23.5</v>
      </c>
      <c r="I15" s="8"/>
    </row>
    <row r="16" customFormat="false" ht="15" hidden="false" customHeight="false" outlineLevel="0" collapsed="false">
      <c r="A16" s="7" t="n">
        <v>12</v>
      </c>
      <c r="B16" s="8" t="s">
        <v>56</v>
      </c>
      <c r="C16" s="8" t="s">
        <v>24</v>
      </c>
      <c r="D16" s="9" t="n">
        <v>8</v>
      </c>
      <c r="E16" s="8" t="s">
        <v>15</v>
      </c>
      <c r="F16" s="22" t="n">
        <v>1</v>
      </c>
      <c r="G16" s="23" t="n">
        <f aca="false">SUMIFS('Bulk Pricing'!$E:$E,'Bulk Pricing'!$B:$B,C16,'Bulk Pricing'!$C:$C,D16,'Bulk Pricing'!$D:$D,E16)</f>
        <v>23.5</v>
      </c>
      <c r="H16" s="11" t="n">
        <f aca="false">IF(OR(F16="",G16=""),"",F16*G16)</f>
        <v>23.5</v>
      </c>
      <c r="I16" s="8"/>
    </row>
    <row r="17" customFormat="false" ht="15" hidden="false" customHeight="false" outlineLevel="0" collapsed="false">
      <c r="A17" s="7" t="n">
        <v>13</v>
      </c>
      <c r="B17" s="8" t="s">
        <v>62</v>
      </c>
      <c r="C17" s="8" t="s">
        <v>24</v>
      </c>
      <c r="D17" s="9" t="n">
        <v>4</v>
      </c>
      <c r="E17" s="8" t="s">
        <v>15</v>
      </c>
      <c r="F17" s="22" t="n">
        <v>1</v>
      </c>
      <c r="G17" s="23" t="n">
        <f aca="false">SUMIFS('Bulk Pricing'!$E:$E,'Bulk Pricing'!$B:$B,C17,'Bulk Pricing'!$C:$C,D17,'Bulk Pricing'!$D:$D,E17)</f>
        <v>12</v>
      </c>
      <c r="H17" s="11" t="n">
        <f aca="false">IF(OR(F17="",G17=""),"",F17*G17)</f>
        <v>12</v>
      </c>
      <c r="I17" s="8"/>
    </row>
    <row r="18" customFormat="false" ht="15" hidden="false" customHeight="false" outlineLevel="0" collapsed="false">
      <c r="A18" s="7" t="n">
        <v>14</v>
      </c>
      <c r="B18" s="8" t="s">
        <v>51</v>
      </c>
      <c r="C18" s="8" t="s">
        <v>24</v>
      </c>
      <c r="D18" s="9" t="n">
        <v>4</v>
      </c>
      <c r="E18" s="8" t="s">
        <v>15</v>
      </c>
      <c r="F18" s="22" t="n">
        <v>1</v>
      </c>
      <c r="G18" s="23" t="n">
        <f aca="false">SUMIFS('Bulk Pricing'!$E:$E,'Bulk Pricing'!$B:$B,C18,'Bulk Pricing'!$C:$C,D18,'Bulk Pricing'!$D:$D,E18)</f>
        <v>12</v>
      </c>
      <c r="H18" s="11" t="n">
        <f aca="false">IF(OR(F18="",G18=""),"",F18*G18)</f>
        <v>12</v>
      </c>
      <c r="I18" s="8"/>
    </row>
    <row r="19" customFormat="false" ht="15" hidden="false" customHeight="false" outlineLevel="0" collapsed="false">
      <c r="A19" s="13" t="n">
        <v>15</v>
      </c>
      <c r="B19" s="14" t="s">
        <v>61</v>
      </c>
      <c r="C19" s="14" t="s">
        <v>25</v>
      </c>
      <c r="D19" s="15" t="n">
        <v>8</v>
      </c>
      <c r="E19" s="14" t="s">
        <v>16</v>
      </c>
      <c r="F19" s="22" t="n">
        <v>2</v>
      </c>
      <c r="G19" s="24" t="n">
        <f aca="false">SUMIFS('Bulk Pricing'!$E:$E,'Bulk Pricing'!$B:$B,C19,'Bulk Pricing'!$C:$C,D19,'Bulk Pricing'!$D:$D,E19)</f>
        <v>25</v>
      </c>
      <c r="H19" s="16" t="n">
        <f aca="false">IF(OR(F19="",G19=""),"",F19*G19)</f>
        <v>50</v>
      </c>
      <c r="I19" s="14"/>
    </row>
    <row r="20" customFormat="false" ht="15" hidden="false" customHeight="false" outlineLevel="0" collapsed="false">
      <c r="A20" s="13" t="n">
        <v>16</v>
      </c>
      <c r="B20" s="14" t="s">
        <v>64</v>
      </c>
      <c r="C20" s="14" t="s">
        <v>25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25</v>
      </c>
      <c r="H20" s="16" t="n">
        <f aca="false">IF(OR(F20="",G20=""),"",F20*G20)</f>
        <v>50</v>
      </c>
      <c r="I20" s="14"/>
    </row>
    <row r="21" customFormat="false" ht="15" hidden="false" customHeight="false" outlineLevel="0" collapsed="false">
      <c r="A21" s="13" t="n">
        <v>17</v>
      </c>
      <c r="B21" s="14" t="s">
        <v>54</v>
      </c>
      <c r="C21" s="14" t="s">
        <v>25</v>
      </c>
      <c r="D21" s="15" t="n">
        <v>8</v>
      </c>
      <c r="E21" s="14" t="s">
        <v>16</v>
      </c>
      <c r="F21" s="22" t="n">
        <v>1</v>
      </c>
      <c r="G21" s="24" t="n">
        <f aca="false">SUMIFS('Bulk Pricing'!$E:$E,'Bulk Pricing'!$B:$B,C21,'Bulk Pricing'!$C:$C,D21,'Bulk Pricing'!$D:$D,E21)</f>
        <v>25</v>
      </c>
      <c r="H21" s="16" t="n">
        <f aca="false">IF(OR(F21="",G21=""),"",F21*G21)</f>
        <v>25</v>
      </c>
      <c r="I21" s="14"/>
    </row>
    <row r="22" customFormat="false" ht="15" hidden="false" customHeight="false" outlineLevel="0" collapsed="false">
      <c r="A22" s="13" t="n">
        <v>18</v>
      </c>
      <c r="B22" s="14" t="s">
        <v>56</v>
      </c>
      <c r="C22" s="14" t="s">
        <v>25</v>
      </c>
      <c r="D22" s="15" t="n">
        <v>4</v>
      </c>
      <c r="E22" s="14" t="s">
        <v>16</v>
      </c>
      <c r="F22" s="22" t="n">
        <v>3</v>
      </c>
      <c r="G22" s="24" t="n">
        <f aca="false">SUMIFS('Bulk Pricing'!$E:$E,'Bulk Pricing'!$B:$B,C22,'Bulk Pricing'!$C:$C,D22,'Bulk Pricing'!$D:$D,E22)</f>
        <v>13.5</v>
      </c>
      <c r="H22" s="16" t="n">
        <f aca="false">IF(OR(F22="",G22=""),"",F22*G22)</f>
        <v>40.5</v>
      </c>
      <c r="I22" s="14"/>
    </row>
    <row r="23" customFormat="false" ht="15" hidden="false" customHeight="false" outlineLevel="0" collapsed="false">
      <c r="A23" s="13" t="n">
        <v>19</v>
      </c>
      <c r="B23" s="14" t="s">
        <v>61</v>
      </c>
      <c r="C23" s="14" t="s">
        <v>25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25</v>
      </c>
      <c r="H23" s="16" t="n">
        <f aca="false">IF(OR(F23="",G23=""),"",F23*G23)</f>
        <v>25</v>
      </c>
      <c r="I23" s="14"/>
    </row>
    <row r="24" customFormat="false" ht="15" hidden="false" customHeight="false" outlineLevel="0" collapsed="false">
      <c r="A24" s="13" t="n">
        <v>20</v>
      </c>
      <c r="B24" s="14" t="s">
        <v>51</v>
      </c>
      <c r="C24" s="14" t="s">
        <v>25</v>
      </c>
      <c r="D24" s="15" t="n">
        <v>4</v>
      </c>
      <c r="E24" s="14" t="s">
        <v>16</v>
      </c>
      <c r="F24" s="22" t="n">
        <v>5</v>
      </c>
      <c r="G24" s="24" t="n">
        <f aca="false">SUMIFS('Bulk Pricing'!$E:$E,'Bulk Pricing'!$B:$B,C24,'Bulk Pricing'!$C:$C,D24,'Bulk Pricing'!$D:$D,E24)</f>
        <v>13.5</v>
      </c>
      <c r="H24" s="16" t="n">
        <f aca="false">IF(OR(F24="",G24=""),"",F24*G24)</f>
        <v>67.5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25</v>
      </c>
      <c r="D25" s="15" t="n">
        <v>8</v>
      </c>
      <c r="E25" s="14" t="s">
        <v>15</v>
      </c>
      <c r="F25" s="22" t="n">
        <v>1</v>
      </c>
      <c r="G25" s="24" t="n">
        <f aca="false">SUMIFS('Bulk Pricing'!$E:$E,'Bulk Pricing'!$B:$B,C25,'Bulk Pricing'!$C:$C,D25,'Bulk Pricing'!$D:$D,E25)</f>
        <v>25</v>
      </c>
      <c r="H25" s="16" t="n">
        <f aca="false">IF(OR(F25="",G25=""),"",F25*G25)</f>
        <v>25</v>
      </c>
      <c r="I25" s="14"/>
    </row>
    <row r="26" customFormat="false" ht="15" hidden="false" customHeight="false" outlineLevel="0" collapsed="false">
      <c r="A26" s="13" t="n">
        <v>22</v>
      </c>
      <c r="B26" s="14" t="s">
        <v>56</v>
      </c>
      <c r="C26" s="14" t="s">
        <v>25</v>
      </c>
      <c r="D26" s="15" t="n">
        <v>8</v>
      </c>
      <c r="E26" s="14" t="s">
        <v>15</v>
      </c>
      <c r="F26" s="22" t="n">
        <v>1</v>
      </c>
      <c r="G26" s="24" t="n">
        <f aca="false">SUMIFS('Bulk Pricing'!$E:$E,'Bulk Pricing'!$B:$B,C26,'Bulk Pricing'!$C:$C,D26,'Bulk Pricing'!$D:$D,E26)</f>
        <v>25</v>
      </c>
      <c r="H26" s="16" t="n">
        <f aca="false">IF(OR(F26="",G26=""),"",F26*G26)</f>
        <v>25</v>
      </c>
      <c r="I26" s="14"/>
    </row>
    <row r="27" customFormat="false" ht="15" hidden="false" customHeight="false" outlineLevel="0" collapsed="false">
      <c r="A27" s="13" t="n">
        <v>23</v>
      </c>
      <c r="B27" s="14" t="s">
        <v>61</v>
      </c>
      <c r="C27" s="14" t="s">
        <v>25</v>
      </c>
      <c r="D27" s="15" t="n">
        <v>16</v>
      </c>
      <c r="E27" s="14" t="s">
        <v>15</v>
      </c>
      <c r="F27" s="22" t="n">
        <v>3</v>
      </c>
      <c r="G27" s="24" t="n">
        <f aca="false">SUMIFS('Bulk Pricing'!$E:$E,'Bulk Pricing'!$B:$B,C27,'Bulk Pricing'!$C:$C,D27,'Bulk Pricing'!$D:$D,E27)</f>
        <v>52.5</v>
      </c>
      <c r="H27" s="16" t="n">
        <f aca="false">IF(OR(F27="",G27=""),"",F27*G27)</f>
        <v>157.5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17</v>
      </c>
      <c r="C2" s="4" t="s">
        <v>45</v>
      </c>
      <c r="D2" s="5" t="n">
        <f aca="false">SUM(H5:H1000)</f>
        <v>1824.91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56</v>
      </c>
      <c r="C5" s="8" t="s">
        <v>25</v>
      </c>
      <c r="D5" s="9" t="n">
        <v>32</v>
      </c>
      <c r="E5" s="8" t="s">
        <v>17</v>
      </c>
      <c r="F5" s="22" t="n">
        <v>8</v>
      </c>
      <c r="G5" s="23" t="n">
        <f aca="false">SUMIFS('Bulk Pricing'!$E:$E,'Bulk Pricing'!$B:$B,C5,'Bulk Pricing'!$C:$C,D5,'Bulk Pricing'!$D:$D,E5)</f>
        <v>200</v>
      </c>
      <c r="H5" s="11" t="n">
        <f aca="false">IF(OR(F5="",G5=""),"",F5*G5)</f>
        <v>1600</v>
      </c>
      <c r="I5" s="8"/>
      <c r="K5" s="8" t="s">
        <v>66</v>
      </c>
      <c r="L5" s="7" t="n">
        <f aca="false">SUMIFS($F$5:$F$1000,$B$5:$B$1000,K5)</f>
        <v>9</v>
      </c>
      <c r="M5" s="11" t="n">
        <f aca="false">SUMIFS($H$5:$H$1000,$B$5:$B$1000,K5)</f>
        <v>224.91</v>
      </c>
    </row>
    <row r="6" customFormat="false" ht="15" hidden="false" customHeight="false" outlineLevel="0" collapsed="false">
      <c r="A6" s="13" t="n">
        <v>2</v>
      </c>
      <c r="B6" s="14" t="s">
        <v>66</v>
      </c>
      <c r="C6" s="14" t="s">
        <v>67</v>
      </c>
      <c r="D6" s="15" t="n">
        <v>4</v>
      </c>
      <c r="E6" s="14" t="s">
        <v>67</v>
      </c>
      <c r="F6" s="22" t="n">
        <v>9</v>
      </c>
      <c r="G6" s="10" t="n">
        <v>24.99</v>
      </c>
      <c r="H6" s="16" t="n">
        <f aca="false">IF(OR(F6="",G6=""),"",F6*G6)</f>
        <v>224.91</v>
      </c>
      <c r="I6" s="14"/>
      <c r="K6" s="8" t="s">
        <v>56</v>
      </c>
      <c r="L6" s="7" t="n">
        <f aca="false">SUMIFS($F$5:$F$1000,$B$5:$B$1000,K6)</f>
        <v>8</v>
      </c>
      <c r="M6" s="11" t="n">
        <f aca="false">SUMIFS($H$5:$H$1000,$B$5:$B$1000,K6)</f>
        <v>1600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2026-10-18T22:49:41Z</dcterms:created>
  <dc:creator>openpyxl</dc:creator>
  <dc:description/>
  <dc:language>en-US</dc:language>
  <cp:lastModifiedBy/>
  <dcterms:modified xsi:type="dcterms:W3CDTF">2026-10-18T22:49:42Z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