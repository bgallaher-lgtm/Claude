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  <sheet name="eBay Bulk Lot" sheetId="3" state="visible" r:id="rId5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<sst xmlns="http://schemas.openxmlformats.org/spreadsheetml/2006/main" count="329" uniqueCount="60">
  <si>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</si>
  <si>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</si>
  <si>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</si>
  <si>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</si>
  <si>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</si>
  <si>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</si>
  <si>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</si>
  <si>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</si>
  <si>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</si>
  <si>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</si>
  <si>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</si>
  <si>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</si>
  <si>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</si>
  <si>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</si>
  <si>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</si>
  <si>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</si>
  <si>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</si>
  <si>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</si>
  <si>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</si>
  <si>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</si>
  <si>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</si>
  <si>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</si>
  <si>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</si>
  <si>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</si>
  <si>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</si>
  <si>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</si>
  <si>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</si>
  <si>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</si>
  <si>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</si>
  <si>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</si>
  <si>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</si>
  <si>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</si>
  <si>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</si>
  <si>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</si>
  <si>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</si>
  <si>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</si>
  <si>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</si>
  <si>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</si>
  <si>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</si>
  <si>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</si>
  <si>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</si>
  <si>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</si>
  <si>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</si>
  <si>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</si>
  <si>
    <t xml:space="preserve">eBay Bulk Lot - DDR3 (all tested)</t>
  </si>
  <si>
    <t xml:space="preserve">Lot total:</t>
  </si>
  <si>
    <t xml:space="preserve">Delete a row to remove an item; totals update. Price comes from the Bulk Pricing tab.</t>
  </si>
  <si>
    <t xml:space="preserve">Line</t>
  </si>
  <si>
    <t xml:space="preserve">Brand</t>
  </si>
  <si>
    <t xml:space="preserve">Line total</t>
  </si>
  <si>
    <t xml:space="preserve">Value</t>
  </si>
  <si>
    <t xml:space="preserve">Samsung</t>
  </si>
  <si>
    <t xml:space="preserve">ADATA</t>
  </si>
  <si>
    <t xml:space="preserve">G.Skill</t>
  </si>
  <si>
    <t xml:space="preserve">Kingston</t>
  </si>
  <si>
    <t xml:space="preserve">Micron</t>
  </si>
  <si>
    <t xml:space="preserve">SK Hynix</t>
  </si>
  <si>
    <t xml:space="preserve">Nanya</t>
  </si>
  <si>
    <t xml:space="preserve">Ramaxel</t>
  </si>
  <si>
    <t xml:space="preserve">TeamGroup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</si>
</sst>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8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 t="n">
        <v>11</v>
      </c>
      <c r="F10" s="11" t="n">
        <f aca="false">IF(E10="","",E10/C10)</f>
        <v>1.375</v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 t="n">
        <v>11</v>
      </c>
      <c r="F16" s="16" t="n">
        <f aca="false">IF(E16="","",E16/C16)</f>
        <v>1.375</v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 t="n">
        <v>20</v>
      </c>
      <c r="F22" s="11" t="n">
        <f aca="false">IF(E22="","",E22/C22)</f>
        <v>2.5</v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 t="s">
        <v>21</v>
      </c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 t="s">
        <v>21</v>
      </c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 t="n">
        <v>42.5</v>
      </c>
      <c r="F25" s="11" t="n">
        <f aca="false">IF(E25="","",E25/C25)</f>
        <v>2.65625</v>
      </c>
      <c r="G25" s="12"/>
      <c r="H25" s="11" t="str">
        <f aca="false">IF(OR(E25="",G25=""),"",E25*G25)</f>
        <v/>
      </c>
      <c r="I25" s="12" t="s">
        <v>21</v>
      </c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 t="s">
        <v>22</v>
      </c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 t="s">
        <v>22</v>
      </c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 t="n">
        <v>87.5</v>
      </c>
      <c r="F28" s="11" t="n">
        <f aca="false">IF(E28="","",E28/C28)</f>
        <v>2.734375</v>
      </c>
      <c r="G28" s="12"/>
      <c r="H28" s="11" t="str">
        <f aca="false">IF(OR(E28="",G28=""),"",E28*G28)</f>
        <v/>
      </c>
      <c r="I28" s="12" t="s">
        <v>22</v>
      </c>
    </row>
    <row r="29" customFormat="false" ht="15" hidden="false" customHeight="false" outlineLevel="0" collapsed="false">
      <c r="A29" s="13" t="s">
        <v>19</v>
      </c>
      <c r="B29" s="14" t="s">
        <v>23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23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23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23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23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23</v>
      </c>
      <c r="C34" s="15" t="n">
        <v>8</v>
      </c>
      <c r="D34" s="14" t="s">
        <v>17</v>
      </c>
      <c r="E34" s="10" t="n">
        <v>20</v>
      </c>
      <c r="F34" s="16" t="n">
        <f aca="false">IF(E34="","",E34/C34)</f>
        <v>2.5</v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23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 t="s">
        <v>21</v>
      </c>
    </row>
    <row r="36" customFormat="false" ht="15" hidden="false" customHeight="false" outlineLevel="0" collapsed="false">
      <c r="A36" s="13" t="s">
        <v>19</v>
      </c>
      <c r="B36" s="14" t="s">
        <v>23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 t="s">
        <v>21</v>
      </c>
    </row>
    <row r="37" customFormat="false" ht="15" hidden="false" customHeight="false" outlineLevel="0" collapsed="false">
      <c r="A37" s="13" t="s">
        <v>19</v>
      </c>
      <c r="B37" s="14" t="s">
        <v>23</v>
      </c>
      <c r="C37" s="15" t="n">
        <v>16</v>
      </c>
      <c r="D37" s="14" t="s">
        <v>17</v>
      </c>
      <c r="E37" s="10" t="n">
        <v>46.5</v>
      </c>
      <c r="F37" s="16" t="n">
        <f aca="false">IF(E37="","",E37/C37)</f>
        <v>2.90625</v>
      </c>
      <c r="G37" s="12"/>
      <c r="H37" s="16" t="str">
        <f aca="false">IF(OR(E37="",G37=""),"",E37*G37)</f>
        <v/>
      </c>
      <c r="I37" s="12" t="s">
        <v>21</v>
      </c>
    </row>
    <row r="38" customFormat="false" ht="15" hidden="false" customHeight="false" outlineLevel="0" collapsed="false">
      <c r="A38" s="13" t="s">
        <v>19</v>
      </c>
      <c r="B38" s="14" t="s">
        <v>23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 t="s">
        <v>22</v>
      </c>
    </row>
    <row r="39" customFormat="false" ht="15" hidden="false" customHeight="false" outlineLevel="0" collapsed="false">
      <c r="A39" s="13" t="s">
        <v>19</v>
      </c>
      <c r="B39" s="14" t="s">
        <v>23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 t="s">
        <v>22</v>
      </c>
    </row>
    <row r="40" customFormat="false" ht="15" hidden="false" customHeight="false" outlineLevel="0" collapsed="false">
      <c r="A40" s="13" t="s">
        <v>19</v>
      </c>
      <c r="B40" s="14" t="s">
        <v>23</v>
      </c>
      <c r="C40" s="15" t="n">
        <v>32</v>
      </c>
      <c r="D40" s="14" t="s">
        <v>17</v>
      </c>
      <c r="E40" s="10" t="n">
        <v>95.5</v>
      </c>
      <c r="F40" s="16" t="n">
        <f aca="false">IF(E40="","",E40/C40)</f>
        <v>2.984375</v>
      </c>
      <c r="G40" s="12"/>
      <c r="H40" s="16" t="str">
        <f aca="false">IF(OR(E40="",G40=""),"",E40*G40)</f>
        <v/>
      </c>
      <c r="I40" s="12" t="s">
        <v>22</v>
      </c>
    </row>
    <row r="41" customFormat="false" ht="15" hidden="false" customHeight="false" outlineLevel="0" collapsed="false">
      <c r="A41" s="7" t="s">
        <v>19</v>
      </c>
      <c r="B41" s="8" t="s">
        <v>24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24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24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24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24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24</v>
      </c>
      <c r="C46" s="9" t="n">
        <v>8</v>
      </c>
      <c r="D46" s="8" t="s">
        <v>17</v>
      </c>
      <c r="E46" s="10" t="n">
        <v>23.5</v>
      </c>
      <c r="F46" s="11" t="n">
        <f aca="false">IF(E46="","",E46/C46)</f>
        <v>2.9375</v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24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 t="s">
        <v>21</v>
      </c>
    </row>
    <row r="48" customFormat="false" ht="15" hidden="false" customHeight="false" outlineLevel="0" collapsed="false">
      <c r="A48" s="7" t="s">
        <v>19</v>
      </c>
      <c r="B48" s="8" t="s">
        <v>24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 t="s">
        <v>21</v>
      </c>
    </row>
    <row r="49" customFormat="false" ht="15" hidden="false" customHeight="false" outlineLevel="0" collapsed="false">
      <c r="A49" s="7" t="s">
        <v>19</v>
      </c>
      <c r="B49" s="8" t="s">
        <v>24</v>
      </c>
      <c r="C49" s="9" t="n">
        <v>16</v>
      </c>
      <c r="D49" s="8" t="s">
        <v>17</v>
      </c>
      <c r="E49" s="10" t="n">
        <v>49.5</v>
      </c>
      <c r="F49" s="11" t="n">
        <f aca="false">IF(E49="","",E49/C49)</f>
        <v>3.09375</v>
      </c>
      <c r="G49" s="12"/>
      <c r="H49" s="11" t="str">
        <f aca="false">IF(OR(E49="",G49=""),"",E49*G49)</f>
        <v/>
      </c>
      <c r="I49" s="12" t="s">
        <v>21</v>
      </c>
    </row>
    <row r="50" customFormat="false" ht="15" hidden="false" customHeight="false" outlineLevel="0" collapsed="false">
      <c r="A50" s="7" t="s">
        <v>19</v>
      </c>
      <c r="B50" s="8" t="s">
        <v>24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 t="s">
        <v>22</v>
      </c>
    </row>
    <row r="51" customFormat="false" ht="15" hidden="false" customHeight="false" outlineLevel="0" collapsed="false">
      <c r="A51" s="7" t="s">
        <v>19</v>
      </c>
      <c r="B51" s="8" t="s">
        <v>24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 t="s">
        <v>22</v>
      </c>
    </row>
    <row r="52" customFormat="false" ht="15" hidden="false" customHeight="false" outlineLevel="0" collapsed="false">
      <c r="A52" s="7" t="s">
        <v>19</v>
      </c>
      <c r="B52" s="8" t="s">
        <v>24</v>
      </c>
      <c r="C52" s="9" t="n">
        <v>32</v>
      </c>
      <c r="D52" s="8" t="s">
        <v>17</v>
      </c>
      <c r="E52" s="10" t="n">
        <v>101.5</v>
      </c>
      <c r="F52" s="11" t="n">
        <f aca="false">IF(E52="","",E52/C52)</f>
        <v>3.171875</v>
      </c>
      <c r="G52" s="12"/>
      <c r="H52" s="11" t="str">
        <f aca="false">IF(OR(E52="",G52=""),"",E52*G52)</f>
        <v/>
      </c>
      <c r="I52" s="12" t="s">
        <v>22</v>
      </c>
    </row>
    <row r="53" customFormat="false" ht="15" hidden="false" customHeight="false" outlineLevel="0" collapsed="false">
      <c r="A53" s="13" t="s">
        <v>19</v>
      </c>
      <c r="B53" s="14" t="s">
        <v>25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25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25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25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25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25</v>
      </c>
      <c r="C58" s="15" t="n">
        <v>8</v>
      </c>
      <c r="D58" s="14" t="s">
        <v>17</v>
      </c>
      <c r="E58" s="10" t="n">
        <v>25</v>
      </c>
      <c r="F58" s="16" t="n">
        <f aca="false">IF(E58="","",E58/C58)</f>
        <v>3.125</v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25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 t="s">
        <v>21</v>
      </c>
    </row>
    <row r="60" customFormat="false" ht="15" hidden="false" customHeight="false" outlineLevel="0" collapsed="false">
      <c r="A60" s="13" t="s">
        <v>19</v>
      </c>
      <c r="B60" s="14" t="s">
        <v>25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 t="s">
        <v>21</v>
      </c>
    </row>
    <row r="61" customFormat="false" ht="15" hidden="false" customHeight="false" outlineLevel="0" collapsed="false">
      <c r="A61" s="13" t="s">
        <v>19</v>
      </c>
      <c r="B61" s="14" t="s">
        <v>25</v>
      </c>
      <c r="C61" s="15" t="n">
        <v>16</v>
      </c>
      <c r="D61" s="14" t="s">
        <v>17</v>
      </c>
      <c r="E61" s="10" t="n">
        <v>52.5</v>
      </c>
      <c r="F61" s="16" t="n">
        <f aca="false">IF(E61="","",E61/C61)</f>
        <v>3.28125</v>
      </c>
      <c r="G61" s="12"/>
      <c r="H61" s="16" t="str">
        <f aca="false">IF(OR(E61="",G61=""),"",E61*G61)</f>
        <v/>
      </c>
      <c r="I61" s="12" t="s">
        <v>21</v>
      </c>
    </row>
    <row r="62" customFormat="false" ht="15" hidden="false" customHeight="false" outlineLevel="0" collapsed="false">
      <c r="A62" s="13" t="s">
        <v>19</v>
      </c>
      <c r="B62" s="14" t="s">
        <v>25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 t="s">
        <v>22</v>
      </c>
    </row>
    <row r="63" customFormat="false" ht="15" hidden="false" customHeight="false" outlineLevel="0" collapsed="false">
      <c r="A63" s="13" t="s">
        <v>19</v>
      </c>
      <c r="B63" s="14" t="s">
        <v>25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 t="s">
        <v>22</v>
      </c>
    </row>
    <row r="64" customFormat="false" ht="15" hidden="false" customHeight="false" outlineLevel="0" collapsed="false">
      <c r="A64" s="13" t="s">
        <v>19</v>
      </c>
      <c r="B64" s="14" t="s">
        <v>25</v>
      </c>
      <c r="C64" s="15" t="n">
        <v>32</v>
      </c>
      <c r="D64" s="14" t="s">
        <v>17</v>
      </c>
      <c r="E64" s="10" t="n">
        <v>107.5</v>
      </c>
      <c r="F64" s="16" t="n">
        <f aca="false">IF(E64="","",E64/C64)</f>
        <v>3.359375</v>
      </c>
      <c r="G64" s="12"/>
      <c r="H64" s="16" t="str">
        <f aca="false">IF(OR(E64="",G64=""),"",E64*G64)</f>
        <v/>
      </c>
      <c r="I64" s="12" t="s">
        <v>22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26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27</v>
      </c>
    </row>
    <row r="4" customFormat="false" ht="15" hidden="false" customHeight="false" outlineLevel="0" collapsed="false">
      <c r="A4" s="18" t="s">
        <v>28</v>
      </c>
    </row>
    <row r="5" customFormat="false" ht="15" hidden="false" customHeight="false" outlineLevel="0" collapsed="false">
      <c r="A5" s="18" t="s">
        <v>29</v>
      </c>
    </row>
    <row r="6" customFormat="false" ht="15" hidden="false" customHeight="false" outlineLevel="0" collapsed="false">
      <c r="A6" s="18" t="s">
        <v>30</v>
      </c>
    </row>
    <row r="7" customFormat="false" ht="15" hidden="false" customHeight="false" outlineLevel="0" collapsed="false">
      <c r="A7" s="18" t="s">
        <v>31</v>
      </c>
    </row>
    <row r="8" customFormat="false" ht="15" hidden="false" customHeight="false" outlineLevel="0" collapsed="false">
      <c r="A8" s="18" t="s">
        <v>32</v>
      </c>
    </row>
    <row r="9" customFormat="false" ht="15" hidden="false" customHeight="false" outlineLevel="0" collapsed="false">
      <c r="A9" s="18" t="s">
        <v>33</v>
      </c>
    </row>
    <row r="10" customFormat="false" ht="15" hidden="false" customHeight="false" outlineLevel="0" collapsed="false">
      <c r="A10" s="18" t="s">
        <v>34</v>
      </c>
    </row>
    <row r="11" customFormat="false" ht="15" hidden="false" customHeight="false" outlineLevel="0" collapsed="false">
      <c r="A11" s="18" t="s">
        <v>35</v>
      </c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9" t="s">
        <v>36</v>
      </c>
    </row>
    <row r="14" customFormat="false" ht="15" hidden="false" customHeight="false" outlineLevel="0" collapsed="false">
      <c r="A14" s="18" t="s">
        <v>37</v>
      </c>
    </row>
    <row r="15" customFormat="false" ht="15" hidden="false" customHeight="false" outlineLevel="0" collapsed="false">
      <c r="A15" s="18" t="s">
        <v>38</v>
      </c>
    </row>
    <row r="16" customFormat="false" ht="15" hidden="false" customHeight="false" outlineLevel="0" collapsed="false">
      <c r="A16" s="18" t="s">
        <v>39</v>
      </c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9" t="s">
        <v>40</v>
      </c>
    </row>
    <row r="19" customFormat="false" ht="15" hidden="false" customHeight="false" outlineLevel="0" collapsed="false">
      <c r="A19" s="18" t="s">
        <v>41</v>
      </c>
    </row>
    <row r="20" customFormat="false" ht="15" hidden="false" customHeight="false" outlineLevel="0" collapsed="false">
      <c r="A20" s="18" t="s">
        <v>42</v>
      </c>
    </row>
    <row r="21" customFormat="false" ht="15" hidden="false" customHeight="false" outlineLevel="0" collapsed="false">
      <c r="A21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71</v>
      </c>
      <c r="C2" s="4" t="s">
        <v>45</v>
      </c>
      <c r="D2" s="5" t="n">
        <f aca="false">SUM(H5:H1000)</f>
        <v>589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51</v>
      </c>
      <c r="C5" s="8" t="s">
        <v>14</v>
      </c>
      <c r="D5" s="9" t="n">
        <v>4</v>
      </c>
      <c r="E5" s="8" t="s">
        <v>15</v>
      </c>
      <c r="F5" s="22" t="n">
        <v>2</v>
      </c>
      <c r="G5" s="23" t="n">
        <f aca="false">SUMIFS('Bulk Pricing'!$E:$E,'Bulk Pricing'!$B:$B,C5,'Bulk Pricing'!$C:$C,D5,'Bulk Pricing'!$D:$D,E5)</f>
        <v>7</v>
      </c>
      <c r="H5" s="11" t="n">
        <f aca="false">IF(F5="","",F5*G5)</f>
        <v>14</v>
      </c>
      <c r="I5" s="8"/>
      <c r="K5" s="8" t="s">
        <v>52</v>
      </c>
      <c r="L5" s="7" t="n">
        <f aca="false">SUMIFS($F$5:$F$1000,$B$5:$B$1000,K5)</f>
        <v>1</v>
      </c>
      <c r="M5" s="11" t="n">
        <f aca="false">SUMIFS($H$5:$H$1000,$B$5:$B$1000,K5)</f>
        <v>7</v>
      </c>
    </row>
    <row r="6" customFormat="false" ht="15" hidden="false" customHeight="false" outlineLevel="0" collapsed="false">
      <c r="A6" s="7" t="n">
        <v>2</v>
      </c>
      <c r="B6" s="8" t="s">
        <v>51</v>
      </c>
      <c r="C6" s="8" t="s">
        <v>14</v>
      </c>
      <c r="D6" s="9" t="n">
        <v>4</v>
      </c>
      <c r="E6" s="8" t="s">
        <v>16</v>
      </c>
      <c r="F6" s="22" t="n">
        <v>9</v>
      </c>
      <c r="G6" s="23" t="n">
        <f aca="false">SUMIFS('Bulk Pricing'!$E:$E,'Bulk Pricing'!$B:$B,C6,'Bulk Pricing'!$C:$C,D6,'Bulk Pricing'!$D:$D,E6)</f>
        <v>7</v>
      </c>
      <c r="H6" s="11" t="n">
        <f aca="false">IF(F6="","",F6*G6)</f>
        <v>63</v>
      </c>
      <c r="I6" s="8"/>
      <c r="K6" s="8" t="s">
        <v>53</v>
      </c>
      <c r="L6" s="7" t="n">
        <f aca="false">SUMIFS($F$5:$F$1000,$B$5:$B$1000,K6)</f>
        <v>2</v>
      </c>
      <c r="M6" s="11" t="n">
        <f aca="false">SUMIFS($H$5:$H$1000,$B$5:$B$1000,K6)</f>
        <v>22</v>
      </c>
    </row>
    <row r="7" customFormat="false" ht="15" hidden="false" customHeight="false" outlineLevel="0" collapsed="false">
      <c r="A7" s="7" t="n">
        <v>3</v>
      </c>
      <c r="B7" s="8" t="s">
        <v>54</v>
      </c>
      <c r="C7" s="8" t="s">
        <v>14</v>
      </c>
      <c r="D7" s="9" t="n">
        <v>4</v>
      </c>
      <c r="E7" s="8" t="s">
        <v>16</v>
      </c>
      <c r="F7" s="22" t="n">
        <v>2</v>
      </c>
      <c r="G7" s="23" t="n">
        <f aca="false">SUMIFS('Bulk Pricing'!$E:$E,'Bulk Pricing'!$B:$B,C7,'Bulk Pricing'!$C:$C,D7,'Bulk Pricing'!$D:$D,E7)</f>
        <v>7</v>
      </c>
      <c r="H7" s="11" t="n">
        <f aca="false">IF(F7="","",F7*G7)</f>
        <v>14</v>
      </c>
      <c r="I7" s="8"/>
      <c r="K7" s="8" t="s">
        <v>54</v>
      </c>
      <c r="L7" s="7" t="n">
        <f aca="false">SUMIFS($F$5:$F$1000,$B$5:$B$1000,K7)</f>
        <v>12</v>
      </c>
      <c r="M7" s="11" t="n">
        <f aca="false">SUMIFS($H$5:$H$1000,$B$5:$B$1000,K7)</f>
        <v>100</v>
      </c>
    </row>
    <row r="8" customFormat="false" ht="15" hidden="false" customHeight="false" outlineLevel="0" collapsed="false">
      <c r="A8" s="7" t="n">
        <v>4</v>
      </c>
      <c r="B8" s="8" t="s">
        <v>53</v>
      </c>
      <c r="C8" s="8" t="s">
        <v>14</v>
      </c>
      <c r="D8" s="9" t="n">
        <v>8</v>
      </c>
      <c r="E8" s="8" t="s">
        <v>15</v>
      </c>
      <c r="F8" s="22" t="n">
        <v>2</v>
      </c>
      <c r="G8" s="23" t="n">
        <f aca="false">SUMIFS('Bulk Pricing'!$E:$E,'Bulk Pricing'!$B:$B,C8,'Bulk Pricing'!$C:$C,D8,'Bulk Pricing'!$D:$D,E8)</f>
        <v>11</v>
      </c>
      <c r="H8" s="11" t="n">
        <f aca="false">IF(F8="","",F8*G8)</f>
        <v>22</v>
      </c>
      <c r="I8" s="8"/>
      <c r="K8" s="8" t="s">
        <v>55</v>
      </c>
      <c r="L8" s="7" t="n">
        <f aca="false">SUMIFS($F$5:$F$1000,$B$5:$B$1000,K8)</f>
        <v>2</v>
      </c>
      <c r="M8" s="11" t="n">
        <f aca="false">SUMIFS($H$5:$H$1000,$B$5:$B$1000,K8)</f>
        <v>22</v>
      </c>
    </row>
    <row r="9" customFormat="false" ht="15" hidden="false" customHeight="false" outlineLevel="0" collapsed="false">
      <c r="A9" s="7" t="n">
        <v>5</v>
      </c>
      <c r="B9" s="8" t="s">
        <v>56</v>
      </c>
      <c r="C9" s="8" t="s">
        <v>14</v>
      </c>
      <c r="D9" s="9" t="n">
        <v>4</v>
      </c>
      <c r="E9" s="8" t="s">
        <v>15</v>
      </c>
      <c r="F9" s="22" t="n">
        <v>2</v>
      </c>
      <c r="G9" s="23" t="n">
        <f aca="false">SUMIFS('Bulk Pricing'!$E:$E,'Bulk Pricing'!$B:$B,C9,'Bulk Pricing'!$C:$C,D9,'Bulk Pricing'!$D:$D,E9)</f>
        <v>7</v>
      </c>
      <c r="H9" s="11" t="n">
        <f aca="false">IF(F9="","",F9*G9)</f>
        <v>14</v>
      </c>
      <c r="I9" s="8"/>
      <c r="K9" s="8" t="s">
        <v>57</v>
      </c>
      <c r="L9" s="7" t="n">
        <f aca="false">SUMIFS($F$5:$F$1000,$B$5:$B$1000,K9)</f>
        <v>2</v>
      </c>
      <c r="M9" s="11" t="n">
        <f aca="false">SUMIFS($H$5:$H$1000,$B$5:$B$1000,K9)</f>
        <v>22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14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11</v>
      </c>
      <c r="H10" s="11" t="n">
        <f aca="false">IF(F10="","",F10*G10)</f>
        <v>22</v>
      </c>
      <c r="I10" s="8"/>
      <c r="K10" s="8" t="s">
        <v>58</v>
      </c>
      <c r="L10" s="7" t="n">
        <f aca="false">SUMIFS($F$5:$F$1000,$B$5:$B$1000,K10)</f>
        <v>3</v>
      </c>
      <c r="M10" s="11" t="n">
        <f aca="false">SUMIFS($H$5:$H$1000,$B$5:$B$1000,K10)</f>
        <v>21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14</v>
      </c>
      <c r="D11" s="9" t="n">
        <v>4</v>
      </c>
      <c r="E11" s="8" t="s">
        <v>15</v>
      </c>
      <c r="F11" s="22" t="n">
        <v>1</v>
      </c>
      <c r="G11" s="23" t="n">
        <f aca="false">SUMIFS('Bulk Pricing'!$E:$E,'Bulk Pricing'!$B:$B,C11,'Bulk Pricing'!$C:$C,D11,'Bulk Pricing'!$D:$D,E11)</f>
        <v>7</v>
      </c>
      <c r="H11" s="11" t="n">
        <f aca="false">IF(F11="","",F11*G11)</f>
        <v>7</v>
      </c>
      <c r="I11" s="8"/>
      <c r="K11" s="8" t="s">
        <v>51</v>
      </c>
      <c r="L11" s="7" t="n">
        <f aca="false">SUMIFS($F$5:$F$1000,$B$5:$B$1000,K11)</f>
        <v>29</v>
      </c>
      <c r="M11" s="11" t="n">
        <f aca="false">SUMIFS($H$5:$H$1000,$B$5:$B$1000,K11)</f>
        <v>223</v>
      </c>
    </row>
    <row r="12" customFormat="false" ht="15" hidden="false" customHeight="false" outlineLevel="0" collapsed="false">
      <c r="A12" s="7" t="n">
        <v>8</v>
      </c>
      <c r="B12" s="8" t="s">
        <v>54</v>
      </c>
      <c r="C12" s="8" t="s">
        <v>14</v>
      </c>
      <c r="D12" s="9" t="n">
        <v>4</v>
      </c>
      <c r="E12" s="8" t="s">
        <v>15</v>
      </c>
      <c r="F12" s="22" t="n">
        <v>3</v>
      </c>
      <c r="G12" s="23" t="n">
        <f aca="false">SUMIFS('Bulk Pricing'!$E:$E,'Bulk Pricing'!$B:$B,C12,'Bulk Pricing'!$C:$C,D12,'Bulk Pricing'!$D:$D,E12)</f>
        <v>7</v>
      </c>
      <c r="H12" s="11" t="n">
        <f aca="false">IF(F12="","",F12*G12)</f>
        <v>21</v>
      </c>
      <c r="I12" s="8"/>
      <c r="K12" s="8" t="s">
        <v>56</v>
      </c>
      <c r="L12" s="7" t="n">
        <f aca="false">SUMIFS($F$5:$F$1000,$B$5:$B$1000,K12)</f>
        <v>18</v>
      </c>
      <c r="M12" s="11" t="n">
        <f aca="false">SUMIFS($H$5:$H$1000,$B$5:$B$1000,K12)</f>
        <v>150</v>
      </c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18</v>
      </c>
      <c r="D13" s="15" t="n">
        <v>8</v>
      </c>
      <c r="E13" s="14" t="s">
        <v>15</v>
      </c>
      <c r="F13" s="22" t="n">
        <v>2</v>
      </c>
      <c r="G13" s="24" t="n">
        <f aca="false">SUMIFS('Bulk Pricing'!$E:$E,'Bulk Pricing'!$B:$B,C13,'Bulk Pricing'!$C:$C,D13,'Bulk Pricing'!$D:$D,E13)</f>
        <v>11</v>
      </c>
      <c r="H13" s="16" t="n">
        <f aca="false">IF(F13="","",F13*G13)</f>
        <v>22</v>
      </c>
      <c r="I13" s="14"/>
      <c r="K13" s="8" t="s">
        <v>59</v>
      </c>
      <c r="L13" s="7" t="n">
        <f aca="false">SUMIFS($F$5:$F$1000,$B$5:$B$1000,K13)</f>
        <v>2</v>
      </c>
      <c r="M13" s="11" t="n">
        <f aca="false">SUMIFS($H$5:$H$1000,$B$5:$B$1000,K13)</f>
        <v>22</v>
      </c>
    </row>
    <row r="14" customFormat="false" ht="15" hidden="false" customHeight="false" outlineLevel="0" collapsed="false">
      <c r="A14" s="13" t="n">
        <v>10</v>
      </c>
      <c r="B14" s="14" t="s">
        <v>54</v>
      </c>
      <c r="C14" s="14" t="s">
        <v>18</v>
      </c>
      <c r="D14" s="15" t="n">
        <v>8</v>
      </c>
      <c r="E14" s="14" t="s">
        <v>15</v>
      </c>
      <c r="F14" s="22" t="n">
        <v>4</v>
      </c>
      <c r="G14" s="24" t="n">
        <f aca="false">SUMIFS('Bulk Pricing'!$E:$E,'Bulk Pricing'!$B:$B,C14,'Bulk Pricing'!$C:$C,D14,'Bulk Pricing'!$D:$D,E14)</f>
        <v>11</v>
      </c>
      <c r="H14" s="16" t="n">
        <f aca="false">IF(F14="","",F14*G14)</f>
        <v>44</v>
      </c>
      <c r="I14" s="14"/>
    </row>
    <row r="15" customFormat="false" ht="15" hidden="false" customHeight="false" outlineLevel="0" collapsed="false">
      <c r="A15" s="13" t="n">
        <v>11</v>
      </c>
      <c r="B15" s="14" t="s">
        <v>57</v>
      </c>
      <c r="C15" s="14" t="s">
        <v>18</v>
      </c>
      <c r="D15" s="15" t="n">
        <v>8</v>
      </c>
      <c r="E15" s="14" t="s">
        <v>15</v>
      </c>
      <c r="F15" s="22" t="n">
        <v>2</v>
      </c>
      <c r="G15" s="24" t="n">
        <f aca="false">SUMIFS('Bulk Pricing'!$E:$E,'Bulk Pricing'!$B:$B,C15,'Bulk Pricing'!$C:$C,D15,'Bulk Pricing'!$D:$D,E15)</f>
        <v>11</v>
      </c>
      <c r="H15" s="16" t="n">
        <f aca="false">IF(F15="","",F15*G15)</f>
        <v>22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18</v>
      </c>
      <c r="D16" s="15" t="n">
        <v>4</v>
      </c>
      <c r="E16" s="14" t="s">
        <v>15</v>
      </c>
      <c r="F16" s="22" t="n">
        <v>1</v>
      </c>
      <c r="G16" s="24" t="n">
        <f aca="false">SUMIFS('Bulk Pricing'!$E:$E,'Bulk Pricing'!$B:$B,C16,'Bulk Pricing'!$C:$C,D16,'Bulk Pricing'!$D:$D,E16)</f>
        <v>7</v>
      </c>
      <c r="H16" s="16" t="n">
        <f aca="false">IF(F16="","",F16*G16)</f>
        <v>7</v>
      </c>
      <c r="I16" s="14"/>
    </row>
    <row r="17" customFormat="false" ht="15" hidden="false" customHeight="false" outlineLevel="0" collapsed="false">
      <c r="A17" s="13" t="n">
        <v>13</v>
      </c>
      <c r="B17" s="14" t="s">
        <v>58</v>
      </c>
      <c r="C17" s="14" t="s">
        <v>18</v>
      </c>
      <c r="D17" s="15" t="n">
        <v>4</v>
      </c>
      <c r="E17" s="14" t="s">
        <v>15</v>
      </c>
      <c r="F17" s="22" t="n">
        <v>3</v>
      </c>
      <c r="G17" s="24" t="n">
        <f aca="false">SUMIFS('Bulk Pricing'!$E:$E,'Bulk Pricing'!$B:$B,C17,'Bulk Pricing'!$C:$C,D17,'Bulk Pricing'!$D:$D,E17)</f>
        <v>7</v>
      </c>
      <c r="H17" s="16" t="n">
        <f aca="false">IF(F17="","",F17*G17)</f>
        <v>21</v>
      </c>
      <c r="I17" s="14"/>
    </row>
    <row r="18" customFormat="false" ht="15" hidden="false" customHeight="false" outlineLevel="0" collapsed="false">
      <c r="A18" s="13" t="n">
        <v>14</v>
      </c>
      <c r="B18" s="14" t="s">
        <v>56</v>
      </c>
      <c r="C18" s="14" t="s">
        <v>18</v>
      </c>
      <c r="D18" s="15" t="n">
        <v>4</v>
      </c>
      <c r="E18" s="14" t="s">
        <v>15</v>
      </c>
      <c r="F18" s="22" t="n">
        <v>2</v>
      </c>
      <c r="G18" s="24" t="n">
        <f aca="false">SUMIFS('Bulk Pricing'!$E:$E,'Bulk Pricing'!$B:$B,C18,'Bulk Pricing'!$C:$C,D18,'Bulk Pricing'!$D:$D,E18)</f>
        <v>7</v>
      </c>
      <c r="H18" s="16" t="n">
        <f aca="false">IF(F18="","",F18*G18)</f>
        <v>14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18</v>
      </c>
      <c r="D19" s="15" t="n">
        <v>4</v>
      </c>
      <c r="E19" s="14" t="s">
        <v>16</v>
      </c>
      <c r="F19" s="22" t="n">
        <v>5</v>
      </c>
      <c r="G19" s="24" t="n">
        <f aca="false">SUMIFS('Bulk Pricing'!$E:$E,'Bulk Pricing'!$B:$B,C19,'Bulk Pricing'!$C:$C,D19,'Bulk Pricing'!$D:$D,E19)</f>
        <v>7</v>
      </c>
      <c r="H19" s="16" t="n">
        <f aca="false">IF(F19="","",F19*G19)</f>
        <v>35</v>
      </c>
      <c r="I19" s="14"/>
    </row>
    <row r="20" customFormat="false" ht="15" hidden="false" customHeight="false" outlineLevel="0" collapsed="false">
      <c r="A20" s="13" t="n">
        <v>16</v>
      </c>
      <c r="B20" s="14" t="s">
        <v>55</v>
      </c>
      <c r="C20" s="14" t="s">
        <v>18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11</v>
      </c>
      <c r="H20" s="16" t="n">
        <f aca="false">IF(F20="","",F20*G20)</f>
        <v>22</v>
      </c>
      <c r="I20" s="14"/>
    </row>
    <row r="21" customFormat="false" ht="15" hidden="false" customHeight="false" outlineLevel="0" collapsed="false">
      <c r="A21" s="13" t="n">
        <v>17</v>
      </c>
      <c r="B21" s="14" t="s">
        <v>56</v>
      </c>
      <c r="C21" s="14" t="s">
        <v>18</v>
      </c>
      <c r="D21" s="15" t="n">
        <v>4</v>
      </c>
      <c r="E21" s="14" t="s">
        <v>16</v>
      </c>
      <c r="F21" s="22" t="n">
        <v>2</v>
      </c>
      <c r="G21" s="24" t="n">
        <f aca="false">SUMIFS('Bulk Pricing'!$E:$E,'Bulk Pricing'!$B:$B,C21,'Bulk Pricing'!$C:$C,D21,'Bulk Pricing'!$D:$D,E21)</f>
        <v>7</v>
      </c>
      <c r="H21" s="16" t="n">
        <f aca="false">IF(F21="","",F21*G21)</f>
        <v>14</v>
      </c>
      <c r="I21" s="14"/>
    </row>
    <row r="22" customFormat="false" ht="15" hidden="false" customHeight="false" outlineLevel="0" collapsed="false">
      <c r="A22" s="13" t="n">
        <v>18</v>
      </c>
      <c r="B22" s="14" t="s">
        <v>59</v>
      </c>
      <c r="C22" s="14" t="s">
        <v>18</v>
      </c>
      <c r="D22" s="15" t="n">
        <v>8</v>
      </c>
      <c r="E22" s="14" t="s">
        <v>16</v>
      </c>
      <c r="F22" s="22" t="n">
        <v>2</v>
      </c>
      <c r="G22" s="24" t="n">
        <f aca="false">SUMIFS('Bulk Pricing'!$E:$E,'Bulk Pricing'!$B:$B,C22,'Bulk Pricing'!$C:$C,D22,'Bulk Pricing'!$D:$D,E22)</f>
        <v>11</v>
      </c>
      <c r="H22" s="16" t="n">
        <f aca="false">IF(F22="","",F22*G22)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51</v>
      </c>
      <c r="C23" s="14" t="s">
        <v>18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11</v>
      </c>
      <c r="H23" s="16" t="n">
        <f aca="false">IF(F23="","",F23*G23)</f>
        <v>11</v>
      </c>
      <c r="I23" s="14"/>
    </row>
    <row r="24" customFormat="false" ht="15" hidden="false" customHeight="false" outlineLevel="0" collapsed="false">
      <c r="A24" s="13" t="n">
        <v>20</v>
      </c>
      <c r="B24" s="14" t="s">
        <v>56</v>
      </c>
      <c r="C24" s="14" t="s">
        <v>18</v>
      </c>
      <c r="D24" s="15" t="n">
        <v>8</v>
      </c>
      <c r="E24" s="14" t="s">
        <v>16</v>
      </c>
      <c r="F24" s="22" t="n">
        <v>6</v>
      </c>
      <c r="G24" s="24" t="n">
        <f aca="false">SUMIFS('Bulk Pricing'!$E:$E,'Bulk Pricing'!$B:$B,C24,'Bulk Pricing'!$C:$C,D24,'Bulk Pricing'!$D:$D,E24)</f>
        <v>11</v>
      </c>
      <c r="H24" s="16" t="n">
        <f aca="false">IF(F24="","",F24*G24)</f>
        <v>66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18</v>
      </c>
      <c r="D25" s="15" t="n">
        <v>4</v>
      </c>
      <c r="E25" s="14" t="s">
        <v>16</v>
      </c>
      <c r="F25" s="22" t="n">
        <v>10</v>
      </c>
      <c r="G25" s="24" t="n">
        <f aca="false">SUMIFS('Bulk Pricing'!$E:$E,'Bulk Pricing'!$B:$B,C25,'Bulk Pricing'!$C:$C,D25,'Bulk Pricing'!$D:$D,E25)</f>
        <v>7</v>
      </c>
      <c r="H25" s="16" t="n">
        <f aca="false">IF(F25="","",F25*G25)</f>
        <v>70</v>
      </c>
      <c r="I25" s="14"/>
    </row>
    <row r="26" customFormat="false" ht="15" hidden="false" customHeight="false" outlineLevel="0" collapsed="false">
      <c r="A26" s="13" t="n">
        <v>22</v>
      </c>
      <c r="B26" s="14" t="s">
        <v>51</v>
      </c>
      <c r="C26" s="14" t="s">
        <v>18</v>
      </c>
      <c r="D26" s="15" t="n">
        <v>4</v>
      </c>
      <c r="E26" s="14" t="s">
        <v>16</v>
      </c>
      <c r="F26" s="22" t="n">
        <v>3</v>
      </c>
      <c r="G26" s="24" t="n">
        <f aca="false">SUMIFS('Bulk Pricing'!$E:$E,'Bulk Pricing'!$B:$B,C26,'Bulk Pricing'!$C:$C,D26,'Bulk Pricing'!$D:$D,E26)</f>
        <v>7</v>
      </c>
      <c r="H26" s="16" t="n">
        <f aca="false">IF(F26="","",F26*G26)</f>
        <v>21</v>
      </c>
      <c r="I26" s="14"/>
    </row>
    <row r="27" customFormat="false" ht="15" hidden="false" customHeight="false" outlineLevel="0" collapsed="false">
      <c r="A27" s="13" t="n">
        <v>23</v>
      </c>
      <c r="B27" s="14" t="s">
        <v>54</v>
      </c>
      <c r="C27" s="14" t="s">
        <v>18</v>
      </c>
      <c r="D27" s="15" t="n">
        <v>4</v>
      </c>
      <c r="E27" s="14" t="s">
        <v>16</v>
      </c>
      <c r="F27" s="22" t="n">
        <v>3</v>
      </c>
      <c r="G27" s="24" t="n">
        <f aca="false">SUMIFS('Bulk Pricing'!$E:$E,'Bulk Pricing'!$B:$B,C27,'Bulk Pricing'!$C:$C,D27,'Bulk Pricing'!$D:$D,E27)</f>
        <v>7</v>
      </c>
      <c r="H27" s="16" t="n">
        <f aca="false">IF(F27="","",F27*G27)</f>
        <v>21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2026-10-18T20:41:38Z</dcterms:created>
  <dc:creator>openpyxl</dc:creator>
  <dc:description/>
  <dc:language>en-US</dc:language>
  <cp:lastModifiedBy/>
  <dcterms:modified xsi:type="dcterms:W3CDTF">2026-10-18T20:41:38Z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