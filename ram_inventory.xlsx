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ventory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<sst xmlns="http://schemas.openxmlformats.org/spreadsheetml/2006/main" count="248" uniqueCount="134">
  <si>
    <t xml:space="preserve">Brand</t>
  </si>
  <si>
    <t xml:space="preserve">Part #</t>
  </si>
  <si>
    <t xml:space="preserve">Type</t>
  </si>
  <si>
    <t xml:space="preserve">Capacity</t>
  </si>
  <si>
    <t xml:space="preserve">Speed</t>
  </si>
  <si>
    <t xml:space="preserve">Rank</t>
  </si>
  <si>
    <t xml:space="preserve">Qty</t>
  </si>
  <si>
    <t xml:space="preserve">Sell as</t>
  </si>
  <si>
    <t xml:space="preserve">Suggested price</t>
  </si>
  <si>
    <t xml:space="preserve">Floor price</t>
  </si>
  <si>
    <t xml:space="preserve">Est. total</t>
  </si>
  <si>
    <t xml:space="preserve">eBay title</t>
  </si>
  <si>
    <t xml:space="preserve">Notes (all RAM tested on RAM tester)</t>
  </si>
  <si>
    <t xml:space="preserve">Samsung</t>
  </si>
  <si>
    <t xml:space="preserve">M393A1K43BB0-CRC</t>
  </si>
  <si>
    <t xml:space="preserve">Server RDIMM (Registered ECC)</t>
  </si>
  <si>
    <t xml:space="preserve">8GB</t>
  </si>
  <si>
    <t xml:space="preserve">DDR4-2400 / PC4-19200</t>
  </si>
  <si>
    <t xml:space="preserve">1Rx8</t>
  </si>
  <si>
    <t xml:space="preserve">Single sticks</t>
  </si>
  <si>
    <t xml:space="preserve">Samsung 8GB DDR4 2400 PC4-2400T ECC Registered RDIMM M393A1K43BB0-CRC Tested</t>
  </si>
  <si>
    <t xml:space="preserve">Or one lot of 3 (24GB) ~$84.99. Not for desktops.</t>
  </si>
  <si>
    <t xml:space="preserve">M378A1K43CB2-CRC</t>
  </si>
  <si>
    <t xml:space="preserve">Desktop UDIMM (Non-ECC)</t>
  </si>
  <si>
    <t xml:space="preserve">16GB kit (2x8GB)</t>
  </si>
  <si>
    <t xml:space="preserve">Kits of 2</t>
  </si>
  <si>
    <t xml:space="preserve">Samsung 16GB (2x8GB) DDR4 2400 PC4-2400T Desktop RAM M378A1K43CB2-CRC Tested</t>
  </si>
  <si>
    <t xml:space="preserve">One listing, qty 4, Best Offer on. Keep pairs together.</t>
  </si>
  <si>
    <t xml:space="preserve">SK Hynix</t>
  </si>
  <si>
    <t xml:space="preserve">HMA81GU6DJR8N-VK</t>
  </si>
  <si>
    <t xml:space="preserve">DDR4-2666 / PC4-21300</t>
  </si>
  <si>
    <t xml:space="preserve">SK Hynix 16GB (2x8GB) DDR4 2666 PC4-2666V Desktop RAM HMA81GU6DJR8N-VK Tested</t>
  </si>
  <si>
    <t xml:space="preserve">One listing, qty 6, Best Offer on. Date code 1951.</t>
  </si>
  <si>
    <t xml:space="preserve">Single stick</t>
  </si>
  <si>
    <t xml:space="preserve">SK Hynix 8GB DDR4 2666 PC4-2666V Desktop RAM Non-ECC HMA81GU6DJR8N-VK Tested</t>
  </si>
  <si>
    <t xml:space="preserve">13th stick from the kits above.</t>
  </si>
  <si>
    <t xml:space="preserve">HMA81GU6AFR8N-UH</t>
  </si>
  <si>
    <t xml:space="preserve">SK Hynix 16GB (2x8GB) DDR4 2400 PC4-2400T Desktop RAM HMA81GU6AFR8N-UH Tested</t>
  </si>
  <si>
    <t xml:space="preserve">One listing, qty 4, Best Offer on. Date code 1903.</t>
  </si>
  <si>
    <t xml:space="preserve">M471A5244CB0-CRC</t>
  </si>
  <si>
    <t xml:space="preserve">Laptop SODIMM (Non-ECC)</t>
  </si>
  <si>
    <t xml:space="preserve">8GB kit (2x4GB)</t>
  </si>
  <si>
    <t xml:space="preserve">1Rx16</t>
  </si>
  <si>
    <t xml:space="preserve">Samsung 8GB (2x4GB) DDR4 2400 PC4-2400T Laptop SODIMM M471A5244CB0-CRC Tested</t>
  </si>
  <si>
    <t xml:space="preserve">Matched part-number pairs. Qty 6, Best Offer on.</t>
  </si>
  <si>
    <t xml:space="preserve">Kingston (HP OEM)</t>
  </si>
  <si>
    <t xml:space="preserve">HP24D4U7S1MBP-4 / HP 854912-001 / 861765</t>
  </si>
  <si>
    <t xml:space="preserve">HP 8GB (2x4GB) DDR4 2400 Desktop RAM 854912-001 Kingston HP24D4U7S1MBP-4 Tested</t>
  </si>
  <si>
    <t xml:space="preserve">HP spare 861765. Qty 3, Best Offer on.</t>
  </si>
  <si>
    <t xml:space="preserve">M471A1K43CB1-CTD</t>
  </si>
  <si>
    <t xml:space="preserve">Samsung 16GB (2x8GB) DDR4 2666 PC4-2666V Laptop SODIMM M471A1K43CB1-CTD Tested</t>
  </si>
  <si>
    <t xml:space="preserve">Matched part-number pairs. Qty 10, Best Offer on.</t>
  </si>
  <si>
    <t xml:space="preserve">M471A1K43BB1-CRC</t>
  </si>
  <si>
    <t xml:space="preserve">Samsung 16GB (2x8GB) DDR4 2400 PC4-2400T Laptop SODIMM M471A1K43BB1-CRC Tested</t>
  </si>
  <si>
    <t xml:space="preserve">Matched part-number pairs. Qty 2, Best Offer on.</t>
  </si>
  <si>
    <t xml:space="preserve">M471A1K43DB1-CTD</t>
  </si>
  <si>
    <t xml:space="preserve">Samsung 16GB (2x8GB) DDR4 2666 PC4-2666V Laptop SODIMM M471A1K43DB1-CTD Tested</t>
  </si>
  <si>
    <t xml:space="preserve">Newer revision of M471A1K43CB1-CTD; separate listing. Qty 3, Best Offer on.</t>
  </si>
  <si>
    <t xml:space="preserve">Samsung (HP OEM)</t>
  </si>
  <si>
    <t xml:space="preserve">M378A5244CB0-CRC / HP 855845-971</t>
  </si>
  <si>
    <t xml:space="preserve">HP Samsung 8GB (2x4GB) DDR4 2400 Desktop RAM 855845-971 M378A5244CB0-CRC Tested</t>
  </si>
  <si>
    <t xml:space="preserve">HP label 7L1784. Matching date code 1723. Qty 3, Best Offer on.</t>
  </si>
  <si>
    <t xml:space="preserve">Kingston</t>
  </si>
  <si>
    <t xml:space="preserve">KCP424NS8/8</t>
  </si>
  <si>
    <t xml:space="preserve">Kingston 16GB (2x8GB) DDR4 2400 PC4-19200 Desktop RAM Non-ECC KCP424NS8/8 Tested</t>
  </si>
  <si>
    <t xml:space="preserve">Date code 1810. Retake photo in better light. Qty 2, Best Offer on.</t>
  </si>
  <si>
    <t xml:space="preserve">Team Group (Elite)</t>
  </si>
  <si>
    <t xml:space="preserve">TED48G2666C19BK</t>
  </si>
  <si>
    <t xml:space="preserve">DDR4-2666 / PC4-21300 CL19</t>
  </si>
  <si>
    <t xml:space="preserve">—</t>
  </si>
  <si>
    <t xml:space="preserve">Kit of 2</t>
  </si>
  <si>
    <t xml:space="preserve">Team Group Elite 16GB (2x8GB) DDR4 2666 CL19 Desktop RAM TED48G2666C19BK Tested</t>
  </si>
  <si>
    <t xml:space="preserve">Sequential serials (...041/...042). Retake photo in better light.</t>
  </si>
  <si>
    <t xml:space="preserve">M471A1K43CB1-CRC</t>
  </si>
  <si>
    <t xml:space="preserve">Samsung 16GB (2x8GB) DDR4 2400 PC4-2400T Laptop SODIMM M471A1K43CB1-CRC Tested</t>
  </si>
  <si>
    <t xml:space="preserve">Different revision from M471A1K43BB1-CRC; separate listing. Retake photo in better light.</t>
  </si>
  <si>
    <t xml:space="preserve">Samsung (HP SmartMemory)</t>
  </si>
  <si>
    <t xml:space="preserve">M393A1G40DB0-CPB / HP 752368-081 / spare 774170-001 / 726718-B21</t>
  </si>
  <si>
    <t xml:space="preserve">DDR4-2133 / PC4-17000</t>
  </si>
  <si>
    <t xml:space="preserve">1Rx4</t>
  </si>
  <si>
    <t xml:space="preserve">HP 16GB (2x8GB) DDR4 2133 ECC Registered 752368-081 774170-001 726718-B21 Tested</t>
  </si>
  <si>
    <t xml:space="preserve">HP ProLiant Gen9. Mixed CPB0Q/CPB2Q suffix. Alt: one lot of 4 (32GB) ~$99. Confirm label in good light.</t>
  </si>
  <si>
    <t xml:space="preserve">9995711-008.A00G (KKRVFX-MIE)</t>
  </si>
  <si>
    <t xml:space="preserve">DDR4-3200 / PC4-25600</t>
  </si>
  <si>
    <t xml:space="preserve">Kingston 16GB (2x8GB) DDR4 3200 PC4-3200AA Laptop SODIMM 9995711-008.A00G Tested</t>
  </si>
  <si>
    <t xml:space="preserve">Date code 2049 on both. Retake photo in better light.</t>
  </si>
  <si>
    <t xml:space="preserve">Samsung (Edge Memory relabel)</t>
  </si>
  <si>
    <t xml:space="preserve">M393B2K70CM0-CF8 / Edge 16GE604R04</t>
  </si>
  <si>
    <t xml:space="preserve">Server RDIMM (Registered ECC) DDR3</t>
  </si>
  <si>
    <t xml:space="preserve">32GB kit (2x16GB)</t>
  </si>
  <si>
    <t xml:space="preserve">DDR3-1066 / PC3-8500R</t>
  </si>
  <si>
    <t xml:space="preserve">4Rx4</t>
  </si>
  <si>
    <t xml:space="preserve">Samsung 32GB (2x16GB) DDR3 1066 PC3-8500R ECC Registered 4Rx4 M393B2K70CM0-CF8</t>
  </si>
  <si>
    <t xml:space="preserve">Old DDR3 quad-rank, low demand. Alt: lot of 4 (64GB) ~$35. Title has no room for 'Tested' - put it in description.</t>
  </si>
  <si>
    <t xml:space="preserve">G.Skill (Ripjaws X)</t>
  </si>
  <si>
    <t xml:space="preserve">F3-2133C11D-16GXL</t>
  </si>
  <si>
    <t xml:space="preserve">Desktop UDIMM (Non-ECC) DDR3</t>
  </si>
  <si>
    <t xml:space="preserve">DDR3-2133 / PC3-17000 CL11</t>
  </si>
  <si>
    <t xml:space="preserve">G.Skill Ripjaws X 16GB (2x8GB) DDR3 2133 PC3-17000 Desktop F3-2133C11D-16GXL</t>
  </si>
  <si>
    <t xml:space="preserve">Original retail kit, sequential serials, Nov 2016. Red heatspreaders. Put 'Tested' in description.</t>
  </si>
  <si>
    <t xml:space="preserve">GeIL (Super Luce RGB Sync)</t>
  </si>
  <si>
    <t xml:space="preserve">GLS48GB3000C18AS</t>
  </si>
  <si>
    <t xml:space="preserve">Desktop UDIMM (Non-ECC) RGB</t>
  </si>
  <si>
    <t xml:space="preserve">DDR4-3000 / PC4-24000 CL18</t>
  </si>
  <si>
    <t xml:space="preserve">GeIL Super Luce RGB 16GB (2x8GB) DDR4 3000 CL18 Desktop RAM GLS48GB3000C18AS</t>
  </si>
  <si>
    <t xml:space="preserve">1.35V, black RGB heatspreaders. Different batches (PNK747/PNK748) - same part number. Test RGB lights; photo lit up.</t>
  </si>
  <si>
    <t xml:space="preserve">Crucial (Ballistix Sport LT)</t>
  </si>
  <si>
    <t xml:space="preserve">BLS4G4D240FSE.8FBD</t>
  </si>
  <si>
    <t xml:space="preserve">DDR4-2400 / PC4-19200 CL16</t>
  </si>
  <si>
    <t xml:space="preserve">Crucial Ballistix Sport 8GB (2x4GB) DDR4 2400 Red Desktop RAM BLS4G4D240FSE</t>
  </si>
  <si>
    <t xml:space="preserve">Red camo heatspreaders. Same batch BG112W7.85 / 201618. Confirm label says 4G (not 8G).</t>
  </si>
  <si>
    <t xml:space="preserve">Micron</t>
  </si>
  <si>
    <t xml:space="preserve">MTA8ATF1G64AZ-2G6E1 (1x HP 933276-001, 1x Dell SNPY7N41C/8G)</t>
  </si>
  <si>
    <t xml:space="preserve">Micron 16GB (2x8GB) DDR4 2666 PC4-2666V Desktop RAM MTA8ATF1G64AZ-2G6E1 Tested</t>
  </si>
  <si>
    <t xml:space="preserve">Same Micron part &amp; date 1851; one has HP label, one Dell label - disclose.</t>
  </si>
  <si>
    <t xml:space="preserve">M471A1K43DB1-CWE</t>
  </si>
  <si>
    <t xml:space="preserve">Samsung 16GB (2x8GB) DDR4 3200 PC4-3200AA Laptop SODIMM M471A1K43DB1-CWE Tested</t>
  </si>
  <si>
    <t xml:space="preserve">Date code 2128 on both, near-sequential serials. Made in Vietnam.</t>
  </si>
  <si>
    <t xml:space="preserve">HP26D4U9S8ME-8 / HP 933276-001</t>
  </si>
  <si>
    <t xml:space="preserve">HP 16GB (2x8GB) DDR4 2666 Desktop RAM 933276-001 Kingston HP26D4U9S8ME-8 Tested</t>
  </si>
  <si>
    <t xml:space="preserve">Date code 1938 on both. HP label 8619C5.</t>
  </si>
  <si>
    <t xml:space="preserve">HMA81GU6CJR8N-VK</t>
  </si>
  <si>
    <t xml:space="preserve">SK Hynix 16GB (2x8GB) DDR4 2666 PC4-2666V Desktop RAM HMA81GU6CJR8N-VK Tested</t>
  </si>
  <si>
    <t xml:space="preserve">CJR8N revision (not DJR8N) - separate listing. Dates 1937/2003.</t>
  </si>
  <si>
    <t xml:space="preserve">SK Hynix (HP SmartMemory)</t>
  </si>
  <si>
    <t xml:space="preserve">HMA41GR7AFR4N-TF / HP 752368-081 / spare 774170-001</t>
  </si>
  <si>
    <t xml:space="preserve">HP 8GB DDR4 2133 ECC Registered RDIMM 752368-081 774170-001 HMA41GR7AFR4N-TF</t>
  </si>
  <si>
    <t xml:space="preserve">Same HP part as Samsung server kits (row 16). HP ProLiant Gen9. Put 'Tested' in description.</t>
  </si>
  <si>
    <t xml:space="preserve">Corsair (Vengeance Pro)</t>
  </si>
  <si>
    <t xml:space="preserve">CMY16GX3M2A1866C9R (ver 8.22)</t>
  </si>
  <si>
    <t xml:space="preserve">DDR3-1866 / PC3-14900 CL9</t>
  </si>
  <si>
    <t xml:space="preserve">Corsair Vengeance Pro 16GB (2x8GB) DDR3 1866 CL9 Desktop RAM CMY16GX3M2A1866C9R</t>
  </si>
  <si>
    <t xml:space="preserve">Original retail kit, sequential serials. Red/black heatspreaders. Put 'Tested' in description.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</si>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</sst>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.00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0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18"/>
    <col collapsed="false" customWidth="true" hidden="false" outlineLevel="0" max="6" min="6" style="0" width="7"/>
    <col collapsed="false" customWidth="true" hidden="false" outlineLevel="0" max="7" min="7" style="0" width="6"/>
    <col collapsed="false" customWidth="true" hidden="false" outlineLevel="0" max="8" min="8" style="0" width="13"/>
    <col collapsed="false" customWidth="true" hidden="false" outlineLevel="0" max="9" min="9" style="0" width="11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48"/>
    <col collapsed="false" customWidth="true" hidden="false" outlineLevel="0" max="13" min="13" style="0" width="40"/>
  </cols>
  <sheetData>
    <row r="1" customFormat="false" ht="28.3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customFormat="false" ht="28.35" hidden="false" customHeight="false" outlineLevel="0" collapsed="false">
      <c r="A2" s="2" t="s">
        <v>13</v>
      </c>
      <c r="B2" s="2" t="s">
        <v>14</v>
      </c>
      <c r="C2" s="2" t="s">
        <v>15</v>
      </c>
      <c r="D2" s="2" t="s">
        <v>16</v>
      </c>
      <c r="E2" s="2" t="s">
        <v>17</v>
      </c>
      <c r="F2" s="2" t="s">
        <v>18</v>
      </c>
      <c r="G2" s="2" t="n">
        <v>3</v>
      </c>
      <c r="H2" s="2" t="s">
        <v>19</v>
      </c>
      <c r="I2" s="3" t="n">
        <v>29.99</v>
      </c>
      <c r="J2" s="3" t="n">
        <v>25</v>
      </c>
      <c r="K2" s="3" t="n">
        <f aca="false">G2*I2</f>
        <v>89.97</v>
      </c>
      <c r="L2" s="2" t="s">
        <v>20</v>
      </c>
      <c r="M2" s="2" t="s">
        <v>21</v>
      </c>
    </row>
    <row r="3" customFormat="false" ht="28.35" hidden="false" customHeight="false" outlineLevel="0" collapsed="false">
      <c r="A3" s="2" t="s">
        <v>13</v>
      </c>
      <c r="B3" s="2" t="s">
        <v>22</v>
      </c>
      <c r="C3" s="2" t="s">
        <v>23</v>
      </c>
      <c r="D3" s="2" t="s">
        <v>24</v>
      </c>
      <c r="E3" s="2" t="s">
        <v>17</v>
      </c>
      <c r="F3" s="2" t="s">
        <v>18</v>
      </c>
      <c r="G3" s="2" t="n">
        <v>4</v>
      </c>
      <c r="H3" s="2" t="s">
        <v>25</v>
      </c>
      <c r="I3" s="3" t="n">
        <v>49.99</v>
      </c>
      <c r="J3" s="3" t="n">
        <v>42</v>
      </c>
      <c r="K3" s="3" t="n">
        <f aca="false">G3*I3</f>
        <v>199.96</v>
      </c>
      <c r="L3" s="2" t="s">
        <v>26</v>
      </c>
      <c r="M3" s="2" t="s">
        <v>27</v>
      </c>
    </row>
    <row r="4" customFormat="false" ht="28.35" hidden="false" customHeight="false" outlineLevel="0" collapsed="false">
      <c r="A4" s="2" t="s">
        <v>28</v>
      </c>
      <c r="B4" s="2" t="s">
        <v>29</v>
      </c>
      <c r="C4" s="2" t="s">
        <v>23</v>
      </c>
      <c r="D4" s="2" t="s">
        <v>24</v>
      </c>
      <c r="E4" s="2" t="s">
        <v>30</v>
      </c>
      <c r="F4" s="2" t="s">
        <v>18</v>
      </c>
      <c r="G4" s="2" t="n">
        <v>6</v>
      </c>
      <c r="H4" s="2" t="s">
        <v>25</v>
      </c>
      <c r="I4" s="3" t="n">
        <v>49.99</v>
      </c>
      <c r="J4" s="3" t="n">
        <v>42</v>
      </c>
      <c r="K4" s="3" t="n">
        <f aca="false">G4*I4</f>
        <v>299.94</v>
      </c>
      <c r="L4" s="2" t="s">
        <v>31</v>
      </c>
      <c r="M4" s="2" t="s">
        <v>32</v>
      </c>
    </row>
    <row r="5" customFormat="false" ht="28.35" hidden="false" customHeight="false" outlineLevel="0" collapsed="false">
      <c r="A5" s="2" t="s">
        <v>28</v>
      </c>
      <c r="B5" s="2" t="s">
        <v>29</v>
      </c>
      <c r="C5" s="2" t="s">
        <v>23</v>
      </c>
      <c r="D5" s="2" t="s">
        <v>16</v>
      </c>
      <c r="E5" s="2" t="s">
        <v>30</v>
      </c>
      <c r="F5" s="2" t="s">
        <v>18</v>
      </c>
      <c r="G5" s="2" t="n">
        <v>1</v>
      </c>
      <c r="H5" s="2" t="s">
        <v>33</v>
      </c>
      <c r="I5" s="3" t="n">
        <v>24.99</v>
      </c>
      <c r="J5" s="3" t="n">
        <v>21</v>
      </c>
      <c r="K5" s="3" t="n">
        <f aca="false">G5*I5</f>
        <v>24.99</v>
      </c>
      <c r="L5" s="2" t="s">
        <v>34</v>
      </c>
      <c r="M5" s="2" t="s">
        <v>35</v>
      </c>
    </row>
    <row r="6" customFormat="false" ht="28.35" hidden="false" customHeight="false" outlineLevel="0" collapsed="false">
      <c r="A6" s="2" t="s">
        <v>28</v>
      </c>
      <c r="B6" s="2" t="s">
        <v>36</v>
      </c>
      <c r="C6" s="2" t="s">
        <v>23</v>
      </c>
      <c r="D6" s="2" t="s">
        <v>24</v>
      </c>
      <c r="E6" s="2" t="s">
        <v>17</v>
      </c>
      <c r="F6" s="2" t="s">
        <v>18</v>
      </c>
      <c r="G6" s="2" t="n">
        <v>4</v>
      </c>
      <c r="H6" s="2" t="s">
        <v>25</v>
      </c>
      <c r="I6" s="3" t="n">
        <v>49.99</v>
      </c>
      <c r="J6" s="3" t="n">
        <v>42</v>
      </c>
      <c r="K6" s="3" t="n">
        <f aca="false">G6*I6</f>
        <v>199.96</v>
      </c>
      <c r="L6" s="2" t="s">
        <v>37</v>
      </c>
      <c r="M6" s="2" t="s">
        <v>38</v>
      </c>
    </row>
    <row r="7" customFormat="false" ht="28.35" hidden="false" customHeight="false" outlineLevel="0" collapsed="false">
      <c r="A7" s="2" t="s">
        <v>13</v>
      </c>
      <c r="B7" s="2" t="s">
        <v>39</v>
      </c>
      <c r="C7" s="2" t="s">
        <v>40</v>
      </c>
      <c r="D7" s="2" t="s">
        <v>41</v>
      </c>
      <c r="E7" s="2" t="s">
        <v>17</v>
      </c>
      <c r="F7" s="2" t="s">
        <v>42</v>
      </c>
      <c r="G7" s="2" t="n">
        <v>6</v>
      </c>
      <c r="H7" s="2" t="s">
        <v>25</v>
      </c>
      <c r="I7" s="3" t="n">
        <v>24.99</v>
      </c>
      <c r="J7" s="3" t="n">
        <v>21</v>
      </c>
      <c r="K7" s="3" t="n">
        <f aca="false">G7*I7</f>
        <v>149.94</v>
      </c>
      <c r="L7" s="2" t="s">
        <v>43</v>
      </c>
      <c r="M7" s="2" t="s">
        <v>44</v>
      </c>
    </row>
    <row r="8" customFormat="false" ht="41.75" hidden="false" customHeight="false" outlineLevel="0" collapsed="false">
      <c r="A8" s="2" t="s">
        <v>45</v>
      </c>
      <c r="B8" s="2" t="s">
        <v>46</v>
      </c>
      <c r="C8" s="2" t="s">
        <v>23</v>
      </c>
      <c r="D8" s="2" t="s">
        <v>41</v>
      </c>
      <c r="E8" s="2" t="s">
        <v>17</v>
      </c>
      <c r="F8" s="2" t="s">
        <v>42</v>
      </c>
      <c r="G8" s="2" t="n">
        <v>3</v>
      </c>
      <c r="H8" s="2" t="s">
        <v>25</v>
      </c>
      <c r="I8" s="3" t="n">
        <v>24.99</v>
      </c>
      <c r="J8" s="3" t="n">
        <v>21</v>
      </c>
      <c r="K8" s="3" t="n">
        <f aca="false">G8*I8</f>
        <v>74.97</v>
      </c>
      <c r="L8" s="2" t="s">
        <v>47</v>
      </c>
      <c r="M8" s="2" t="s">
        <v>48</v>
      </c>
    </row>
    <row r="9" customFormat="false" ht="28.35" hidden="false" customHeight="false" outlineLevel="0" collapsed="false">
      <c r="A9" s="2" t="s">
        <v>13</v>
      </c>
      <c r="B9" s="2" t="s">
        <v>49</v>
      </c>
      <c r="C9" s="2" t="s">
        <v>40</v>
      </c>
      <c r="D9" s="2" t="s">
        <v>24</v>
      </c>
      <c r="E9" s="2" t="s">
        <v>30</v>
      </c>
      <c r="F9" s="2" t="s">
        <v>18</v>
      </c>
      <c r="G9" s="2" t="n">
        <v>10</v>
      </c>
      <c r="H9" s="2" t="s">
        <v>25</v>
      </c>
      <c r="I9" s="3" t="n">
        <v>49.99</v>
      </c>
      <c r="J9" s="3" t="n">
        <v>45</v>
      </c>
      <c r="K9" s="3" t="n">
        <f aca="false">G9*I9</f>
        <v>499.9</v>
      </c>
      <c r="L9" s="2" t="s">
        <v>50</v>
      </c>
      <c r="M9" s="2" t="s">
        <v>51</v>
      </c>
    </row>
    <row r="10" customFormat="false" ht="28.35" hidden="false" customHeight="false" outlineLevel="0" collapsed="false">
      <c r="A10" s="2" t="s">
        <v>13</v>
      </c>
      <c r="B10" s="2" t="s">
        <v>52</v>
      </c>
      <c r="C10" s="2" t="s">
        <v>40</v>
      </c>
      <c r="D10" s="2" t="s">
        <v>24</v>
      </c>
      <c r="E10" s="2" t="s">
        <v>17</v>
      </c>
      <c r="F10" s="2" t="s">
        <v>18</v>
      </c>
      <c r="G10" s="2" t="n">
        <v>2</v>
      </c>
      <c r="H10" s="2" t="s">
        <v>25</v>
      </c>
      <c r="I10" s="3" t="n">
        <v>49.99</v>
      </c>
      <c r="J10" s="3" t="n">
        <v>45</v>
      </c>
      <c r="K10" s="3" t="n">
        <f aca="false">G10*I10</f>
        <v>99.98</v>
      </c>
      <c r="L10" s="2" t="s">
        <v>53</v>
      </c>
      <c r="M10" s="2" t="s">
        <v>54</v>
      </c>
    </row>
    <row r="11" customFormat="false" ht="28.35" hidden="false" customHeight="false" outlineLevel="0" collapsed="false">
      <c r="A11" s="2" t="s">
        <v>13</v>
      </c>
      <c r="B11" s="2" t="s">
        <v>55</v>
      </c>
      <c r="C11" s="2" t="s">
        <v>40</v>
      </c>
      <c r="D11" s="2" t="s">
        <v>24</v>
      </c>
      <c r="E11" s="2" t="s">
        <v>30</v>
      </c>
      <c r="F11" s="2" t="s">
        <v>18</v>
      </c>
      <c r="G11" s="2" t="n">
        <v>3</v>
      </c>
      <c r="H11" s="2" t="s">
        <v>25</v>
      </c>
      <c r="I11" s="3" t="n">
        <v>49.99</v>
      </c>
      <c r="J11" s="3" t="n">
        <v>45</v>
      </c>
      <c r="K11" s="3" t="n">
        <f aca="false">G11*I11</f>
        <v>149.97</v>
      </c>
      <c r="L11" s="2" t="s">
        <v>56</v>
      </c>
      <c r="M11" s="2" t="s">
        <v>57</v>
      </c>
    </row>
    <row r="12" customFormat="false" ht="28.35" hidden="false" customHeight="false" outlineLevel="0" collapsed="false">
      <c r="A12" s="2" t="s">
        <v>58</v>
      </c>
      <c r="B12" s="2" t="s">
        <v>59</v>
      </c>
      <c r="C12" s="2" t="s">
        <v>23</v>
      </c>
      <c r="D12" s="2" t="s">
        <v>41</v>
      </c>
      <c r="E12" s="2" t="s">
        <v>17</v>
      </c>
      <c r="F12" s="2" t="s">
        <v>42</v>
      </c>
      <c r="G12" s="2" t="n">
        <v>3</v>
      </c>
      <c r="H12" s="2" t="s">
        <v>25</v>
      </c>
      <c r="I12" s="3" t="n">
        <v>24.99</v>
      </c>
      <c r="J12" s="3" t="n">
        <v>21</v>
      </c>
      <c r="K12" s="3" t="n">
        <f aca="false">G12*I12</f>
        <v>74.97</v>
      </c>
      <c r="L12" s="2" t="s">
        <v>60</v>
      </c>
      <c r="M12" s="2" t="s">
        <v>61</v>
      </c>
    </row>
    <row r="13" customFormat="false" ht="28.35" hidden="false" customHeight="false" outlineLevel="0" collapsed="false">
      <c r="A13" s="2" t="s">
        <v>62</v>
      </c>
      <c r="B13" s="2" t="s">
        <v>63</v>
      </c>
      <c r="C13" s="2" t="s">
        <v>23</v>
      </c>
      <c r="D13" s="2" t="s">
        <v>24</v>
      </c>
      <c r="E13" s="2" t="s">
        <v>17</v>
      </c>
      <c r="F13" s="2" t="s">
        <v>18</v>
      </c>
      <c r="G13" s="2" t="n">
        <v>2</v>
      </c>
      <c r="H13" s="2" t="s">
        <v>25</v>
      </c>
      <c r="I13" s="3" t="n">
        <v>49.99</v>
      </c>
      <c r="J13" s="3" t="n">
        <v>42</v>
      </c>
      <c r="K13" s="3" t="n">
        <f aca="false">G13*I13</f>
        <v>99.98</v>
      </c>
      <c r="L13" s="2" t="s">
        <v>64</v>
      </c>
      <c r="M13" s="2" t="s">
        <v>65</v>
      </c>
    </row>
    <row r="14" customFormat="false" ht="41.75" hidden="false" customHeight="false" outlineLevel="0" collapsed="false">
      <c r="A14" s="2" t="s">
        <v>66</v>
      </c>
      <c r="B14" s="2" t="s">
        <v>67</v>
      </c>
      <c r="C14" s="2" t="s">
        <v>23</v>
      </c>
      <c r="D14" s="2" t="s">
        <v>24</v>
      </c>
      <c r="E14" s="2" t="s">
        <v>68</v>
      </c>
      <c r="F14" s="2" t="s">
        <v>69</v>
      </c>
      <c r="G14" s="2" t="n">
        <v>1</v>
      </c>
      <c r="H14" s="2" t="s">
        <v>70</v>
      </c>
      <c r="I14" s="3" t="n">
        <v>49.99</v>
      </c>
      <c r="J14" s="3" t="n">
        <v>42</v>
      </c>
      <c r="K14" s="3" t="n">
        <f aca="false">G14*I14</f>
        <v>49.99</v>
      </c>
      <c r="L14" s="2" t="s">
        <v>71</v>
      </c>
      <c r="M14" s="2" t="s">
        <v>72</v>
      </c>
    </row>
    <row r="15" customFormat="false" ht="28.35" hidden="false" customHeight="false" outlineLevel="0" collapsed="false">
      <c r="A15" s="2" t="s">
        <v>13</v>
      </c>
      <c r="B15" s="2" t="s">
        <v>73</v>
      </c>
      <c r="C15" s="2" t="s">
        <v>40</v>
      </c>
      <c r="D15" s="2" t="s">
        <v>24</v>
      </c>
      <c r="E15" s="2" t="s">
        <v>17</v>
      </c>
      <c r="F15" s="2" t="s">
        <v>18</v>
      </c>
      <c r="G15" s="2" t="n">
        <v>2</v>
      </c>
      <c r="H15" s="2" t="s">
        <v>25</v>
      </c>
      <c r="I15" s="3" t="n">
        <v>49.99</v>
      </c>
      <c r="J15" s="3" t="n">
        <v>45</v>
      </c>
      <c r="K15" s="3" t="n">
        <f aca="false">G15*I15</f>
        <v>99.98</v>
      </c>
      <c r="L15" s="2" t="s">
        <v>74</v>
      </c>
      <c r="M15" s="2" t="s">
        <v>75</v>
      </c>
    </row>
    <row r="16" customFormat="false" ht="55.2" hidden="false" customHeight="false" outlineLevel="0" collapsed="false">
      <c r="A16" s="2" t="s">
        <v>76</v>
      </c>
      <c r="B16" s="2" t="s">
        <v>77</v>
      </c>
      <c r="C16" s="2" t="s">
        <v>15</v>
      </c>
      <c r="D16" s="2" t="s">
        <v>24</v>
      </c>
      <c r="E16" s="2" t="s">
        <v>78</v>
      </c>
      <c r="F16" s="2" t="s">
        <v>79</v>
      </c>
      <c r="G16" s="2" t="n">
        <v>2</v>
      </c>
      <c r="H16" s="2" t="s">
        <v>25</v>
      </c>
      <c r="I16" s="3" t="n">
        <v>49.99</v>
      </c>
      <c r="J16" s="3" t="n">
        <v>40</v>
      </c>
      <c r="K16" s="3" t="n">
        <f aca="false">G16*I16</f>
        <v>99.98</v>
      </c>
      <c r="L16" s="2" t="s">
        <v>80</v>
      </c>
      <c r="M16" s="2" t="s">
        <v>81</v>
      </c>
    </row>
    <row r="17" customFormat="false" ht="28.35" hidden="false" customHeight="false" outlineLevel="0" collapsed="false">
      <c r="A17" s="2" t="s">
        <v>62</v>
      </c>
      <c r="B17" s="2" t="s">
        <v>82</v>
      </c>
      <c r="C17" s="2" t="s">
        <v>40</v>
      </c>
      <c r="D17" s="2" t="s">
        <v>24</v>
      </c>
      <c r="E17" s="2" t="s">
        <v>83</v>
      </c>
      <c r="F17" s="2" t="s">
        <v>42</v>
      </c>
      <c r="G17" s="2" t="n">
        <v>2</v>
      </c>
      <c r="H17" s="2" t="s">
        <v>25</v>
      </c>
      <c r="I17" s="3" t="n">
        <v>54.99</v>
      </c>
      <c r="J17" s="3" t="n">
        <v>48</v>
      </c>
      <c r="K17" s="3" t="n">
        <f aca="false">G17*I17</f>
        <v>109.98</v>
      </c>
      <c r="L17" s="2" t="s">
        <v>84</v>
      </c>
      <c r="M17" s="2" t="s">
        <v>85</v>
      </c>
    </row>
    <row r="18" customFormat="false" ht="55.2" hidden="false" customHeight="false" outlineLevel="0" collapsed="false">
      <c r="A18" s="2" t="s">
        <v>86</v>
      </c>
      <c r="B18" s="2" t="s">
        <v>87</v>
      </c>
      <c r="C18" s="2" t="s">
        <v>88</v>
      </c>
      <c r="D18" s="2" t="s">
        <v>89</v>
      </c>
      <c r="E18" s="2" t="s">
        <v>90</v>
      </c>
      <c r="F18" s="2" t="s">
        <v>91</v>
      </c>
      <c r="G18" s="2" t="n">
        <v>2</v>
      </c>
      <c r="H18" s="2" t="s">
        <v>25</v>
      </c>
      <c r="I18" s="3" t="n">
        <v>19.99</v>
      </c>
      <c r="J18" s="3" t="n">
        <v>14</v>
      </c>
      <c r="K18" s="3" t="n">
        <f aca="false">G18*I18</f>
        <v>39.98</v>
      </c>
      <c r="L18" s="2" t="s">
        <v>92</v>
      </c>
      <c r="M18" s="2" t="s">
        <v>93</v>
      </c>
    </row>
    <row r="19" customFormat="false" ht="28.35" hidden="false" customHeight="false" outlineLevel="0" collapsed="false">
      <c r="A19" s="2" t="s">
        <v>94</v>
      </c>
      <c r="B19" s="2" t="s">
        <v>95</v>
      </c>
      <c r="C19" s="2" t="s">
        <v>96</v>
      </c>
      <c r="D19" s="2" t="s">
        <v>24</v>
      </c>
      <c r="E19" s="2" t="s">
        <v>97</v>
      </c>
      <c r="F19" s="2" t="s">
        <v>69</v>
      </c>
      <c r="G19" s="2" t="n">
        <v>1</v>
      </c>
      <c r="H19" s="2" t="s">
        <v>70</v>
      </c>
      <c r="I19" s="3" t="n">
        <v>29.99</v>
      </c>
      <c r="J19" s="3" t="n">
        <v>22</v>
      </c>
      <c r="K19" s="3" t="n">
        <f aca="false">G19*I19</f>
        <v>29.99</v>
      </c>
      <c r="L19" s="2" t="s">
        <v>98</v>
      </c>
      <c r="M19" s="2" t="s">
        <v>99</v>
      </c>
    </row>
    <row r="20" customFormat="false" ht="55.2" hidden="false" customHeight="false" outlineLevel="0" collapsed="false">
      <c r="A20" s="2" t="s">
        <v>100</v>
      </c>
      <c r="B20" s="2" t="s">
        <v>101</v>
      </c>
      <c r="C20" s="2" t="s">
        <v>102</v>
      </c>
      <c r="D20" s="2" t="s">
        <v>24</v>
      </c>
      <c r="E20" s="2" t="s">
        <v>103</v>
      </c>
      <c r="F20" s="2" t="s">
        <v>69</v>
      </c>
      <c r="G20" s="2" t="n">
        <v>1</v>
      </c>
      <c r="H20" s="2" t="s">
        <v>70</v>
      </c>
      <c r="I20" s="3" t="n">
        <v>59.99</v>
      </c>
      <c r="J20" s="3" t="n">
        <v>50</v>
      </c>
      <c r="K20" s="3" t="n">
        <f aca="false">G20*I20</f>
        <v>59.99</v>
      </c>
      <c r="L20" s="2" t="s">
        <v>104</v>
      </c>
      <c r="M20" s="2" t="s">
        <v>105</v>
      </c>
    </row>
    <row r="21" customFormat="false" ht="41.75" hidden="false" customHeight="false" outlineLevel="0" collapsed="false">
      <c r="A21" s="2" t="s">
        <v>106</v>
      </c>
      <c r="B21" s="2" t="s">
        <v>107</v>
      </c>
      <c r="C21" s="2" t="s">
        <v>23</v>
      </c>
      <c r="D21" s="2" t="s">
        <v>41</v>
      </c>
      <c r="E21" s="2" t="s">
        <v>108</v>
      </c>
      <c r="F21" s="2" t="s">
        <v>69</v>
      </c>
      <c r="G21" s="2" t="n">
        <v>1</v>
      </c>
      <c r="H21" s="2" t="s">
        <v>70</v>
      </c>
      <c r="I21" s="3" t="n">
        <v>24.99</v>
      </c>
      <c r="J21" s="3" t="n">
        <v>21</v>
      </c>
      <c r="K21" s="3" t="n">
        <f aca="false">G21*I21</f>
        <v>24.99</v>
      </c>
      <c r="L21" s="2" t="s">
        <v>109</v>
      </c>
      <c r="M21" s="2" t="s">
        <v>110</v>
      </c>
    </row>
    <row r="22" customFormat="false" ht="55.2" hidden="false" customHeight="false" outlineLevel="0" collapsed="false">
      <c r="A22" s="2" t="s">
        <v>111</v>
      </c>
      <c r="B22" s="2" t="s">
        <v>112</v>
      </c>
      <c r="C22" s="2" t="s">
        <v>23</v>
      </c>
      <c r="D22" s="2" t="s">
        <v>24</v>
      </c>
      <c r="E22" s="2" t="s">
        <v>30</v>
      </c>
      <c r="F22" s="2" t="s">
        <v>18</v>
      </c>
      <c r="G22" s="2" t="n">
        <v>1</v>
      </c>
      <c r="H22" s="2" t="s">
        <v>70</v>
      </c>
      <c r="I22" s="3" t="n">
        <v>49.99</v>
      </c>
      <c r="J22" s="3" t="n">
        <v>42</v>
      </c>
      <c r="K22" s="3" t="n">
        <f aca="false">G22*I22</f>
        <v>49.99</v>
      </c>
      <c r="L22" s="2" t="s">
        <v>113</v>
      </c>
      <c r="M22" s="2" t="s">
        <v>114</v>
      </c>
    </row>
    <row r="23" customFormat="false" ht="28.35" hidden="false" customHeight="false" outlineLevel="0" collapsed="false">
      <c r="A23" s="2" t="s">
        <v>13</v>
      </c>
      <c r="B23" s="2" t="s">
        <v>115</v>
      </c>
      <c r="C23" s="2" t="s">
        <v>40</v>
      </c>
      <c r="D23" s="2" t="s">
        <v>24</v>
      </c>
      <c r="E23" s="2" t="s">
        <v>83</v>
      </c>
      <c r="F23" s="2" t="s">
        <v>18</v>
      </c>
      <c r="G23" s="2" t="n">
        <v>1</v>
      </c>
      <c r="H23" s="2" t="s">
        <v>70</v>
      </c>
      <c r="I23" s="3" t="n">
        <v>54.99</v>
      </c>
      <c r="J23" s="3" t="n">
        <v>48</v>
      </c>
      <c r="K23" s="3" t="n">
        <f aca="false">G23*I23</f>
        <v>54.99</v>
      </c>
      <c r="L23" s="2" t="s">
        <v>116</v>
      </c>
      <c r="M23" s="2" t="s">
        <v>117</v>
      </c>
    </row>
    <row r="24" customFormat="false" ht="28.35" hidden="false" customHeight="false" outlineLevel="0" collapsed="false">
      <c r="A24" s="2" t="s">
        <v>45</v>
      </c>
      <c r="B24" s="2" t="s">
        <v>118</v>
      </c>
      <c r="C24" s="2" t="s">
        <v>23</v>
      </c>
      <c r="D24" s="2" t="s">
        <v>24</v>
      </c>
      <c r="E24" s="2" t="s">
        <v>30</v>
      </c>
      <c r="F24" s="2" t="s">
        <v>18</v>
      </c>
      <c r="G24" s="2" t="n">
        <v>1</v>
      </c>
      <c r="H24" s="2" t="s">
        <v>70</v>
      </c>
      <c r="I24" s="3" t="n">
        <v>49.99</v>
      </c>
      <c r="J24" s="3" t="n">
        <v>42</v>
      </c>
      <c r="K24" s="3" t="n">
        <f aca="false">G24*I24</f>
        <v>49.99</v>
      </c>
      <c r="L24" s="2" t="s">
        <v>119</v>
      </c>
      <c r="M24" s="2" t="s">
        <v>120</v>
      </c>
    </row>
    <row r="25" customFormat="false" ht="28.35" hidden="false" customHeight="false" outlineLevel="0" collapsed="false">
      <c r="A25" s="2" t="s">
        <v>28</v>
      </c>
      <c r="B25" s="2" t="s">
        <v>121</v>
      </c>
      <c r="C25" s="2" t="s">
        <v>23</v>
      </c>
      <c r="D25" s="2" t="s">
        <v>24</v>
      </c>
      <c r="E25" s="2" t="s">
        <v>30</v>
      </c>
      <c r="F25" s="2" t="s">
        <v>18</v>
      </c>
      <c r="G25" s="2" t="n">
        <v>1</v>
      </c>
      <c r="H25" s="2" t="s">
        <v>70</v>
      </c>
      <c r="I25" s="3" t="n">
        <v>49.99</v>
      </c>
      <c r="J25" s="3" t="n">
        <v>42</v>
      </c>
      <c r="K25" s="3" t="n">
        <f aca="false">G25*I25</f>
        <v>49.99</v>
      </c>
      <c r="L25" s="2" t="s">
        <v>122</v>
      </c>
      <c r="M25" s="2" t="s">
        <v>123</v>
      </c>
    </row>
    <row r="26" customFormat="false" ht="55.2" hidden="false" customHeight="false" outlineLevel="0" collapsed="false">
      <c r="A26" s="2" t="s">
        <v>124</v>
      </c>
      <c r="B26" s="2" t="s">
        <v>125</v>
      </c>
      <c r="C26" s="2" t="s">
        <v>15</v>
      </c>
      <c r="D26" s="2" t="s">
        <v>16</v>
      </c>
      <c r="E26" s="2" t="s">
        <v>78</v>
      </c>
      <c r="F26" s="2" t="s">
        <v>79</v>
      </c>
      <c r="G26" s="2" t="n">
        <v>3</v>
      </c>
      <c r="H26" s="2" t="s">
        <v>19</v>
      </c>
      <c r="I26" s="3" t="n">
        <v>19.99</v>
      </c>
      <c r="J26" s="3" t="n">
        <v>16</v>
      </c>
      <c r="K26" s="3" t="n">
        <f aca="false">G26*I26</f>
        <v>59.97</v>
      </c>
      <c r="L26" s="2" t="s">
        <v>126</v>
      </c>
      <c r="M26" s="2" t="s">
        <v>127</v>
      </c>
    </row>
    <row r="27" customFormat="false" ht="41.75" hidden="false" customHeight="false" outlineLevel="0" collapsed="false">
      <c r="A27" s="2" t="s">
        <v>128</v>
      </c>
      <c r="B27" s="2" t="s">
        <v>129</v>
      </c>
      <c r="C27" s="2" t="s">
        <v>96</v>
      </c>
      <c r="D27" s="2" t="s">
        <v>24</v>
      </c>
      <c r="E27" s="2" t="s">
        <v>130</v>
      </c>
      <c r="F27" s="2" t="s">
        <v>69</v>
      </c>
      <c r="G27" s="2" t="n">
        <v>1</v>
      </c>
      <c r="H27" s="2" t="s">
        <v>70</v>
      </c>
      <c r="I27" s="3" t="n">
        <v>29.99</v>
      </c>
      <c r="J27" s="3" t="n">
        <v>22</v>
      </c>
      <c r="K27" s="3" t="n">
        <f aca="false">G27*I27</f>
        <v>29.99</v>
      </c>
      <c r="L27" s="2" t="s">
        <v>131</v>
      </c>
      <c r="M27" s="2" t="s">
        <v>132</v>
      </c>
    </row>
    <row r="28" customFormat="false" ht="15" hidden="false" customHeight="false" outlineLevel="0" collapsed="false">
      <c r="A28" s="2"/>
      <c r="B28" s="2"/>
      <c r="C28" s="2"/>
      <c r="D28" s="2"/>
      <c r="E28" s="2"/>
      <c r="F28" s="2"/>
      <c r="G28" s="2"/>
      <c r="H28" s="2"/>
      <c r="I28" s="3"/>
      <c r="J28" s="3"/>
      <c r="K28" s="3"/>
      <c r="L28" s="2"/>
      <c r="M28" s="2"/>
    </row>
    <row r="29" customFormat="false" ht="15" hidden="false" customHeight="false" outlineLevel="0" collapsed="false">
      <c r="A29" s="4"/>
      <c r="B29" s="4"/>
      <c r="C29" s="4"/>
      <c r="D29" s="4"/>
      <c r="E29" s="4"/>
      <c r="F29" s="4"/>
      <c r="G29" s="4"/>
      <c r="H29" s="4" t="s">
        <v>133</v>
      </c>
      <c r="I29" s="5"/>
      <c r="J29" s="5"/>
      <c r="K29" s="5" t="n">
        <f aca="false">SUM(K2:K27)</f>
        <v>2774.33</v>
      </c>
      <c r="L29" s="4"/>
      <c r="M29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2026-10-16T12:48:36Z</dcterms:created>
  <dc:creator>openpyxl</dc:creator>
  <dc:description/>
  <dc:language>en-US</dc:language>
  <cp:lastModifiedBy/>
  <dcterms:modified xsi:type="dcterms:W3CDTF">2026-10-26T14:49:48Z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