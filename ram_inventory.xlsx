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inlineStr">
        <is>
          <t>SK Hynix (HP SmartMemory)</t>
        </is>
      </c>
      <c r="B26" s="2" t="inlineStr">
        <is>
          <t>HMA41GR7AFR4N-TF / HP 752368-081 / spare 774170-001</t>
        </is>
      </c>
      <c r="C26" s="2" t="inlineStr">
        <is>
          <t>Server RDIMM (Registered ECC)</t>
        </is>
      </c>
      <c r="D26" s="2" t="inlineStr">
        <is>
          <t>8GB</t>
        </is>
      </c>
      <c r="E26" s="2" t="inlineStr">
        <is>
          <t>DDR4-2133 / PC4-17000</t>
        </is>
      </c>
      <c r="F26" s="2" t="inlineStr">
        <is>
          <t>1Rx4</t>
        </is>
      </c>
      <c r="G26" s="2" t="n">
        <v>3</v>
      </c>
      <c r="H26" s="2" t="inlineStr">
        <is>
          <t>Single sticks</t>
        </is>
      </c>
      <c r="I26" s="3" t="n">
        <v>14.99</v>
      </c>
      <c r="J26" s="3" t="n">
        <v>11</v>
      </c>
      <c r="K26" s="3">
        <f>G26*I26</f>
        <v/>
      </c>
      <c r="L26" s="2" t="inlineStr">
        <is>
          <t>HP 8GB DDR4 2133 ECC Registered RDIMM 752368-081 774170-001 HMA41GR7AFR4N-TF</t>
        </is>
      </c>
      <c r="M26" s="2" t="inlineStr">
        <is>
          <t>Same HP part as Samsung server kits (row 16). HP ProLiant Gen9. Put 'Tested' in description.</t>
        </is>
      </c>
    </row>
    <row r="27">
      <c r="A27" s="2" t="inlineStr">
        <is>
          <t>Corsair (Vengeance Pro)</t>
        </is>
      </c>
      <c r="B27" s="2" t="inlineStr">
        <is>
          <t>CMY16GX3M2A1866C9R (ver 8.22)</t>
        </is>
      </c>
      <c r="C27" s="2" t="inlineStr">
        <is>
          <t>Desktop UDIMM (Non-ECC) DDR3</t>
        </is>
      </c>
      <c r="D27" s="2" t="inlineStr">
        <is>
          <t>16GB kit (2x8GB)</t>
        </is>
      </c>
      <c r="E27" s="2" t="inlineStr">
        <is>
          <t>DDR3-1866 / PC3-14900 CL9</t>
        </is>
      </c>
      <c r="F27" s="2" t="inlineStr">
        <is>
          <t>—</t>
        </is>
      </c>
      <c r="G27" s="2" t="n">
        <v>1</v>
      </c>
      <c r="H27" s="2" t="inlineStr">
        <is>
          <t>Kit of 2</t>
        </is>
      </c>
      <c r="I27" s="3" t="n">
        <v>29.99</v>
      </c>
      <c r="J27" s="3" t="n">
        <v>22</v>
      </c>
      <c r="K27" s="3">
        <f>G27*I27</f>
        <v/>
      </c>
      <c r="L27" s="2" t="inlineStr">
        <is>
          <t>Corsair Vengeance Pro 16GB (2x8GB) DDR3 1866 CL9 Desktop RAM CMY16GX3M2A1866C9R</t>
        </is>
      </c>
      <c r="M27" s="2" t="inlineStr">
        <is>
          <t>Original retail kit, sequential serials. Red/black heatspreaders. Put 'Tested' in description.</t>
        </is>
      </c>
    </row>
    <row r="28">
      <c r="A28" s="2" t="inlineStr">
        <is>
          <t>Corsair (Vengeance Pro)</t>
        </is>
      </c>
      <c r="B28" s="2" t="inlineStr">
        <is>
          <t>CMY16GX3M2A1600C9R (ver 5.21)</t>
        </is>
      </c>
      <c r="C28" s="2" t="inlineStr">
        <is>
          <t>Desktop UDIMM (Non-ECC) DDR3</t>
        </is>
      </c>
      <c r="D28" s="2" t="inlineStr">
        <is>
          <t>16GB kit (2x8GB)</t>
        </is>
      </c>
      <c r="E28" s="2" t="inlineStr">
        <is>
          <t>DDR3-1600 / PC3-12800 CL9</t>
        </is>
      </c>
      <c r="F28" s="2" t="inlineStr">
        <is>
          <t>—</t>
        </is>
      </c>
      <c r="G28" s="2" t="n">
        <v>12</v>
      </c>
      <c r="H28" s="2" t="inlineStr">
        <is>
          <t>Kits of 2</t>
        </is>
      </c>
      <c r="I28" s="3" t="n">
        <v>24.99</v>
      </c>
      <c r="J28" s="3" t="n">
        <v>18</v>
      </c>
      <c r="K28" s="3">
        <f>G28*I28</f>
        <v/>
      </c>
      <c r="L28" s="2" t="inlineStr">
        <is>
          <t>Corsair Vengeance Pro 16GB (2x8GB) DDR3 1600 CL9 Desktop RAM CMY16GX3M2A1600C9R</t>
        </is>
      </c>
      <c r="M28" s="2" t="inlineStr">
        <is>
          <t>12 kits, sequential serials within each pair. NOT the same as 1866 listing. Qty 12, Best Offer on.</t>
        </is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3" t="n"/>
      <c r="J29" s="3" t="n"/>
      <c r="K29" s="3" t="n"/>
      <c r="L29" s="2" t="n"/>
      <c r="M29" s="2" t="n"/>
    </row>
    <row r="30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  <c r="H30" s="4" t="inlineStr">
        <is>
          <t>Total</t>
        </is>
      </c>
      <c r="I30" s="5" t="inlineStr"/>
      <c r="J30" s="5" t="inlineStr"/>
      <c r="K30" s="5">
        <f>SUM(K2:K28)</f>
        <v/>
      </c>
      <c r="L30" s="4" t="n"/>
      <c r="M3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0" customWidth="1" min="3" max="3"/>
    <col width="11" customWidth="1" min="4" max="4"/>
    <col width="10" customWidth="1" min="5" max="5"/>
    <col width="16" customWidth="1" min="6" max="6"/>
    <col width="14" customWidth="1" min="7" max="7"/>
    <col width="11" customWidth="1" min="8" max="8"/>
    <col width="12" customWidth="1" min="9" max="9"/>
    <col width="50" customWidth="1" min="10" max="10"/>
  </cols>
  <sheetData>
    <row r="1">
      <c r="A1" s="6" t="inlineStr">
        <is>
          <t>Date</t>
        </is>
      </c>
      <c r="B1" s="6" t="inlineStr">
        <is>
          <t>Item</t>
        </is>
      </c>
      <c r="C1" s="6" t="inlineStr">
        <is>
          <t>Qty (sticks)</t>
        </is>
      </c>
      <c r="D1" s="6" t="inlineStr">
        <is>
          <t>Sale price</t>
        </is>
      </c>
      <c r="E1" s="6" t="inlineStr">
        <is>
          <t>Shipping</t>
        </is>
      </c>
      <c r="F1" s="6" t="inlineStr">
        <is>
          <t>Est. eBay fees (13.6% + $0.40)</t>
        </is>
      </c>
      <c r="G1" s="6" t="inlineStr">
        <is>
          <t>Est. shipping cost</t>
        </is>
      </c>
      <c r="H1" s="6" t="inlineStr">
        <is>
          <t>Est. net</t>
        </is>
      </c>
      <c r="I1" s="6" t="inlineStr">
        <is>
          <t>Net per stick</t>
        </is>
      </c>
      <c r="J1" s="6" t="inlineStr">
        <is>
          <t>Notes</t>
        </is>
      </c>
    </row>
    <row r="2">
      <c r="A2" t="inlineStr">
        <is>
          <t>2026-10-22</t>
        </is>
      </c>
      <c r="B2" t="inlineStr">
        <is>
          <t>16GB DDR3 Registered ECC server RAM</t>
        </is>
      </c>
      <c r="C2" t="n">
        <v>12</v>
      </c>
      <c r="D2" s="7" t="n">
        <v>127.47</v>
      </c>
      <c r="E2" t="inlineStr">
        <is>
          <t>Free</t>
        </is>
      </c>
      <c r="F2" s="7">
        <f>ROUND(D2*0.136+0.4,2)</f>
        <v/>
      </c>
      <c r="G2" s="7" t="n">
        <v>12</v>
      </c>
      <c r="H2" s="7">
        <f>D2-F2-G2</f>
        <v/>
      </c>
      <c r="I2" s="7">
        <f>H2/C2</f>
        <v/>
      </c>
      <c r="J2" t="inlineStr">
        <is>
          <t>Shipping cost estimated (~2 lb w/ heat spreaders). Update with actual label cost.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2026-10-22T16:55:51Z</dcterms:modified>
</cp:coreProperties>
</file>